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c49f5009414f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_Bank" sheetId="1" r:id="R4cc26a2a8f7b4561"/>
    <x:sheet xmlns:r="http://schemas.openxmlformats.org/officeDocument/2006/relationships" name="Lists" sheetId="2" r:id="R5e41aeb4a4b64508"/>
    <x:sheet xmlns:r="http://schemas.openxmlformats.org/officeDocument/2006/relationships" name="Validator_Summary" sheetId="3" r:id="R41a27ef54fad49a7"/>
    <x:sheet xmlns:r="http://schemas.openxmlformats.org/officeDocument/2006/relationships" name="Examples" sheetId="4" r:id="R141f64d30b374dd8"/>
    <x:sheet xmlns:r="http://schemas.openxmlformats.org/officeDocument/2006/relationships" name="Instructions" sheetId="5" r:id="R55fa255cf0924c2d"/>
  </x:sheets>
</x:workbook>
</file>

<file path=xl/sharedStrings.xml><?xml version="1.0" encoding="utf-8"?>
<x:sst xmlns:x="http://schemas.openxmlformats.org/spreadsheetml/2006/main">
  <x:si>
    <x:t xml:space="preserve">QuestionID</x:t>
  </x:si>
  <x:si>
    <x:t xml:space="preserve">Pool</x:t>
  </x:si>
  <x:si>
    <x:t xml:space="preserve">Difficulty</x:t>
  </x:si>
  <x:si>
    <x:t xml:space="preserve">QuestionText</x:t>
  </x:si>
  <x:si>
    <x:t xml:space="preserve">OptionA</x:t>
  </x:si>
  <x:si>
    <x:t xml:space="preserve">OptionB</x:t>
  </x:si>
  <x:si>
    <x:t xml:space="preserve">OptionC</x:t>
  </x:si>
  <x:si>
    <x:t xml:space="preserve">OptionD</x:t>
  </x:si>
  <x:si>
    <x:t xml:space="preserve">CorrectAnswer</x:t>
  </x:si>
  <x:si>
    <x:t xml:space="preserve">Feedback</x:t>
  </x:si>
  <x:si>
    <x:t xml:space="preserve">Tag</x:t>
  </x:si>
  <x:si>
    <x:t xml:space="preserve">Type</x:t>
  </x:si>
  <x:si>
    <x:t xml:space="preserve">Objective</x:t>
  </x:si>
  <x:si>
    <x:t xml:space="preserve">ObjectiveLabel</x:t>
  </x:si>
  <x:si>
    <x:t xml:space="preserve">PrimarySkill</x:t>
  </x:si>
  <x:si>
    <x:t xml:space="preserve">RepairSkill</x:t>
  </x:si>
  <x:si>
    <x:t xml:space="preserve">CommonError</x:t>
  </x:si>
  <x:si>
    <x:t xml:space="preserve">ConceptCluster</x:t>
  </x:si>
  <x:si>
    <x:t xml:space="preserve">SecondarySkills</x:t>
  </x:si>
  <x:si>
    <x:t xml:space="preserve">Hint</x:t>
  </x:si>
  <x:si>
    <x:t xml:space="preserve">ImageFile</x:t>
  </x:si>
  <x:si>
    <x:t xml:space="preserve">BossEligible</x:t>
  </x:si>
  <x:si>
    <x:t xml:space="preserve">AnswerVerified</x:t>
  </x:si>
  <x:si>
    <x:t xml:space="preserve">Notes</x:t>
  </x:si>
  <x:si>
    <x:t xml:space="preserve">AnswerLengthAudit</x:t>
  </x:si>
  <x:si>
    <x:t xml:space="preserve">DuplicateAudit</x:t>
  </x:si>
</x:sst>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sz val="10"/>
      <x:color rgb="FF1F2937"/>
      <x:name val="Carlito"/>
    </x:font>
    <x:font>
      <x:sz val="9"/>
      <x:color rgb="FF1F2937"/>
      <x:name val="Carlito"/>
    </x:font>
    <x:font>
      <x:b/>
      <x:sz val="18"/>
      <x:color rgb="FFFFFFFF"/>
      <x:name val="Carlito"/>
    </x:font>
    <x:font>
      <x:b/>
      <x:sz val="11"/>
      <x:color rgb="FF1F2937"/>
      <x:name val="Carlito"/>
    </x:font>
    <x:font>
      <x:b/>
      <x:sz val="12"/>
      <x:color rgb="FF5E0025"/>
      <x:name val="Carlito"/>
    </x:font>
    <x:font>
      <x:b/>
      <x:sz val="14"/>
      <x:color rgb="FFFFFFFF"/>
      <x:name val="Carlito"/>
    </x:font>
    <x:font>
      <x:i/>
      <x:sz val="11"/>
      <x:color rgb="FF1F2937"/>
      <x:name val="Carlito"/>
    </x:font>
    <x:font>
      <x:b/>
      <x:sz val="17"/>
      <x:color rgb="FFFFFFFF"/>
      <x:name val="Carlito"/>
    </x:font>
    <x:font>
      <x:sz val="9"/>
      <x:color rgb="FF46596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910039"/>
      </x:patternFill>
    </x:fill>
    <x:fill>
      <x:patternFill patternType="solid">
        <x:fgColor rgb="FF4F2D7F"/>
      </x:patternFill>
    </x:fill>
    <x:fill>
      <x:patternFill patternType="solid">
        <x:fgColor rgb="FF8A5A00"/>
      </x:patternFill>
    </x:fill>
    <x:fill>
      <x:patternFill patternType="solid">
        <x:fgColor rgb="FFEEF2F7"/>
      </x:patternFill>
    </x:fill>
    <x:fill>
      <x:patternFill patternType="solid">
        <x:fgColor rgb="FFF7EAF0"/>
      </x:patternFill>
    </x:fill>
    <x:fill>
      <x:patternFill patternType="solid">
        <x:fgColor rgb="FFF1ECF8"/>
      </x:patternFill>
    </x:fill>
    <x:fill>
      <x:patternFill patternType="solid">
        <x:fgColor rgb="FFFFF6DD"/>
      </x:patternFill>
    </x:fill>
    <x:fill>
      <x:patternFill patternType="solid">
        <x:fgColor rgb="FF17395C"/>
      </x:patternFill>
    </x:fill>
  </x:fills>
  <x:borders count="2">
    <x:border/>
    <x:border/>
  </x:borders>
  <x:cellStyleXfs count="1">
    <x:xf numFmtId="0" fontId="0" fillId="0" borderId="0"/>
  </x:cellStyleXfs>
  <x:cellXfs count="68">
    <x:xf numFmtId="0" fontId="0" fillId="0" borderId="0" xfId="0"/>
    <x:xf numFmtId="0" fontId="1" fillId="2" borderId="0" xfId="0" applyFont="1" applyFill="1"/>
    <x:xf numFmtId="0" fontId="1" fillId="2" borderId="0" xfId="0" applyFont="1" applyFill="1" applyAlignment="1">
      <x:alignment horizontal="center"/>
    </x:xf>
    <x:xf numFmtId="0" fontId="1" fillId="2" borderId="0" xfId="0" applyFont="1" applyFill="1" applyAlignment="1">
      <x:alignment horizontal="center" vertical="center"/>
    </x:xf>
    <x:xf numFmtId="0" fontId="2" fillId="0" borderId="0" xfId="0" applyFont="1" applyAlignment="1">
      <x:alignment wrapText="1"/>
    </x:xf>
    <x:xf numFmtId="0" fontId="2" fillId="0" borderId="0" xfId="0" applyFont="1" applyAlignment="1">
      <x:alignment vertical="center" wrapText="1"/>
    </x:xf>
    <x:xf numFmtId="0" fontId="1" fillId="3" borderId="0" xfId="0" applyFont="1" applyFill="1" applyAlignment="1">
      <x:alignment horizontal="center" vertical="center" wrapText="1"/>
    </x:xf>
    <x:xf numFmtId="0" fontId="1" fillId="4" borderId="0" xfId="0" applyFont="1" applyFill="1" applyAlignment="1">
      <x:alignment horizontal="center" vertical="center" wrapText="1"/>
    </x:xf>
    <x:xf numFmtId="0" fontId="1" fillId="5" borderId="0" xfId="0" applyFont="1" applyFill="1" applyAlignment="1">
      <x:alignment horizontal="center" vertical="center" wrapText="1"/>
    </x:xf>
    <x:xf numFmtId="0" fontId="1" fillId="2" borderId="0" xfId="0" applyFont="1" applyFill="1" applyAlignment="1">
      <x:alignment horizontal="center" wrapText="1"/>
    </x:xf>
    <x:xf numFmtId="0" fontId="1" fillId="2" borderId="0" xfId="0" applyFont="1" applyFill="1" applyAlignment="1">
      <x:alignment horizontal="center" vertical="center" wrapText="1"/>
    </x:xf>
    <x:xf numFmtId="0" fontId="4" fillId="6" borderId="0" xfId="0" applyFont="1" applyFill="1" applyAlignment="1">
      <x:alignment vertical="top" wrapText="1"/>
    </x:xf>
    <x:xf numFmtId="0" fontId="3" fillId="7" borderId="0" xfId="0" applyFont="1" applyFill="1" applyAlignment="1">
      <x:alignment vertical="top" wrapText="1"/>
    </x:xf>
    <x:xf numFmtId="0" fontId="3" fillId="8" borderId="0" xfId="0" applyFont="1" applyFill="1" applyAlignment="1">
      <x:alignment vertical="top" wrapText="1"/>
    </x:xf>
    <x:xf numFmtId="0" fontId="3" fillId="9" borderId="0" xfId="0" applyFont="1" applyFill="1" applyAlignment="1">
      <x:alignment vertical="top" wrapText="1"/>
    </x:xf>
    <x:xf numFmtId="0" fontId="3" fillId="7" borderId="0" xfId="0" applyFont="1" applyFill="1" applyAlignment="1">
      <x:alignment horizontal="center" vertical="top" wrapText="1"/>
    </x:xf>
    <x:xf numFmtId="0" fontId="3" fillId="9" borderId="0" xfId="0" applyFont="1" applyFill="1" applyAlignment="1">
      <x:alignment horizontal="center" vertical="top" wrapText="1"/>
    </x:xf>
    <x:xf numFmtId="0" fontId="4" fillId="6" borderId="0" xfId="0" applyFont="1" applyFill="1" applyAlignment="1">
      <x:alignment horizontal="center" vertical="top" wrapText="1"/>
    </x:xf>
    <x:xf numFmtId="0" fontId="6" fillId="0" borderId="0" xfId="0" applyFont="1" applyAlignment="1">
      <x:alignment vertical="center" wrapText="1"/>
    </x:xf>
    <x:xf numFmtId="0" fontId="7" fillId="0" borderId="0" xfId="0" applyFont="1" applyAlignment="1">
      <x:alignment horizontal="center" vertical="center" wrapText="1"/>
    </x:xf>
    <x:xf numFmtId="0" fontId="2" fillId="0" borderId="0" xfId="0" applyFont="1" applyAlignment="1">
      <x:alignment horizontal="center" vertical="center" wrapText="1"/>
    </x:xf>
    <x:xf numFmtId="0" fontId="0" fillId="0" borderId="0" xfId="0" applyAlignment="1">
      <x:alignment horizontal="center"/>
    </x:xf>
    <x:xf numFmtId="0" fontId="2" fillId="0" borderId="0" xfId="0" applyFont="1" applyAlignment="1">
      <x:alignment vertical="top" wrapText="1"/>
    </x:xf>
    <x:xf numFmtId="0" fontId="5" fillId="3" borderId="0" xfId="0" applyFont="1" applyFill="1" applyAlignment="1">
      <x:alignment horizontal="center" vertical="center"/>
    </x:xf>
    <x:xf numFmtId="0" fontId="8" fillId="4" borderId="0" xfId="0" applyFont="1" applyFill="1" applyAlignment="1">
      <x:alignment horizontal="center"/>
    </x:xf>
    <x:xf numFmtId="0" fontId="9" fillId="9" borderId="0" xfId="0" applyFont="1" applyFill="1" applyAlignment="1">
      <x:alignment horizontal="left" vertical="center" wrapText="1"/>
    </x:xf>
    <x:xf numFmtId="0" fontId="5" fillId="3" borderId="0" xfId="0" applyFont="1" applyFill="1" applyAlignment="1">
      <x:alignment horizontal="center"/>
    </x:xf>
    <x:xf numFmtId="0" fontId="10" fillId="3" borderId="0" xfId="0" applyFont="1" applyFill="1" applyAlignment="1">
      <x:alignment horizontal="center" vertical="center"/>
    </x:xf>
    <x:xf numFmtId="0" fontId="6" fillId="9" borderId="0" xfId="0" applyFont="1" applyFill="1" applyAlignment="1">
      <x:alignment vertical="center" wrapText="1"/>
    </x:xf>
    <x:xf numFmtId="0" fontId="9" fillId="6" borderId="0" xfId="0" applyFont="1" applyFill="1" applyAlignment="1">
      <x:alignment vertical="center"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vertical="top" wrapText="1"/>
    </x:xf>
    <x:xf numFmtId="0" fontId="3" fillId="7" borderId="1" xfId="0" applyNumberFormat="1" applyFont="1" applyFill="1" applyBorder="1" applyAlignment="1">
      <x:alignment vertical="top" wrapText="1"/>
    </x:xf>
    <x:xf numFmtId="0" fontId="3" fillId="8" borderId="1" xfId="0" applyNumberFormat="1" applyFont="1" applyFill="1" applyBorder="1" applyAlignment="1">
      <x:alignment vertical="top" wrapText="1"/>
    </x:xf>
    <x:xf numFmtId="0" fontId="3" fillId="9" borderId="1" xfId="0" applyNumberFormat="1" applyFont="1" applyFill="1" applyBorder="1" applyAlignment="1">
      <x:alignment vertical="top" wrapText="1"/>
    </x:xf>
    <x:xf numFmtId="0" fontId="3" fillId="7" borderId="1" xfId="0" applyNumberFormat="1" applyFont="1" applyFill="1" applyBorder="1" applyAlignment="1">
      <x:alignment horizontal="center" vertical="top" wrapText="1"/>
    </x:xf>
    <x:xf numFmtId="0" fontId="3" fillId="9" borderId="1" xfId="0" applyNumberFormat="1" applyFont="1" applyFill="1" applyBorder="1" applyAlignment="1">
      <x:alignment horizontal="center" vertical="top" wrapText="1"/>
    </x:xf>
    <x:xf numFmtId="0" fontId="4" fillId="6" borderId="1" xfId="0" applyNumberFormat="1" applyFont="1" applyFill="1" applyBorder="1" applyAlignment="1">
      <x:alignment horizontal="center" vertical="top" wrapText="1"/>
    </x:xf>
    <x:xf numFmtId="0" fontId="6" fillId="0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horizontal="center" vertical="center"/>
    </x:xf>
    <x:xf numFmtId="0" fontId="8" fillId="4" borderId="1" xfId="0" applyNumberFormat="1" applyFont="1" applyFill="1" applyBorder="1" applyAlignment="1">
      <x:alignment horizontal="center"/>
    </x:xf>
    <x:xf numFmtId="0" fontId="9" fillId="9" borderId="1" xfId="0" applyNumberFormat="1" applyFont="1" applyFill="1" applyBorder="1" applyAlignment="1">
      <x:alignment horizontal="left" vertical="center" wrapText="1"/>
    </x:xf>
    <x:xf numFmtId="0" fontId="5" fillId="3" borderId="1" xfId="0" applyNumberFormat="1" applyFont="1" applyFill="1" applyBorder="1" applyAlignment="1">
      <x:alignment horizontal="center"/>
    </x:xf>
    <x:xf numFmtId="0" fontId="10" fillId="3" borderId="1" xfId="0" applyNumberFormat="1" applyFont="1" applyFill="1" applyBorder="1" applyAlignment="1">
      <x:alignment horizontal="center" vertical="center"/>
    </x:xf>
    <x:xf numFmtId="0" fontId="6" fillId="9" borderId="1" xfId="0" applyNumberFormat="1" applyFont="1" applyFill="1" applyBorder="1" applyAlignment="1">
      <x:alignment vertical="center" wrapText="1"/>
    </x:xf>
    <x:xf numFmtId="0" fontId="9" fillId="6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/>
    <x:xf numFmtId="0" fontId="11" fillId="6" borderId="0" xfId="0" applyNumberFormat="1" applyFont="1" applyFill="1" applyBorder="1" applyAlignment="1">
      <x:alignment horizontal="center" vertical="top" wrapText="1"/>
    </x:xf>
    <x:xf numFmtId="0" fontId="11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9">
    <x:dxf>
      <x:font>
        <x:b/>
        <x:color rgb="FF991B1B"/>
      </x:font>
      <x:fill>
        <x:patternFill>
          <x:bgColor rgb="FFFADADD"/>
        </x:patternFill>
      </x:fill>
    </x:dxf>
    <x:dxf>
      <x:font>
        <x:b/>
        <x:color rgb="FF854D0E"/>
      </x:font>
      <x:fill>
        <x:patternFill>
          <x:bgColor rgb="FFFFF1BF"/>
        </x:patternFill>
      </x:fill>
    </x:dxf>
    <x:dxf>
      <x:font>
        <x:b/>
        <x:color rgb="FF991B1B"/>
      </x:font>
      <x:fill>
        <x:patternFill>
          <x:bgColor rgb="FFFADADD"/>
        </x:patternFill>
      </x:fill>
    </x:dxf>
    <x:dxf>
      <x:font>
        <x:b/>
        <x:color rgb="FF854D0E"/>
      </x:font>
      <x:fill>
        <x:patternFill>
          <x:bgColor rgb="FFFFF1BF"/>
        </x:patternFill>
      </x:fill>
    </x:dxf>
    <x:dxf>
      <x:font>
        <x:b/>
        <x:color rgb="FF166534"/>
      </x:font>
      <x:fill>
        <x:patternFill>
          <x:bgColor rgb="FFDDF4E4"/>
        </x:patternFill>
      </x:fill>
    </x:dxf>
    <x:dxf>
      <x:fill>
        <x:patternFill>
          <x:bgColor rgb="FFFFF1BF"/>
        </x:patternFill>
      </x:fill>
    </x:dxf>
    <x:dxf>
      <x:fill>
        <x:patternFill>
          <x:bgColor rgb="FFFADADD"/>
        </x:patternFill>
      </x:fill>
    </x:dxf>
    <x:dxf>
      <x:fill>
        <x:patternFill>
          <x:bgColor rgb="FFFFF1BF"/>
        </x:patternFill>
      </x:fill>
    </x:dxf>
    <x:dxf>
      <x:fill>
        <x:patternFill>
          <x:bgColor rgb="FFFADA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168bcb679e403b" /><Relationship Type="http://schemas.openxmlformats.org/officeDocument/2006/relationships/theme" Target="/xl/theme/theme1.xml" Id="R0276ebefe7ea40f3" /><Relationship Type="http://schemas.openxmlformats.org/officeDocument/2006/relationships/sharedStrings" Target="/xl/sharedStrings.xml" Id="R031b8d4200b8414c" /><Relationship Type="http://schemas.openxmlformats.org/officeDocument/2006/relationships/worksheet" Target="/xl/worksheets/sheet1.xml" Id="R4cc26a2a8f7b4561" /><Relationship Type="http://schemas.openxmlformats.org/officeDocument/2006/relationships/worksheet" Target="/xl/worksheets/sheet2.xml" Id="R5e41aeb4a4b64508" /><Relationship Type="http://schemas.openxmlformats.org/officeDocument/2006/relationships/worksheet" Target="/xl/worksheets/sheet3.xml" Id="R41a27ef54fad49a7" /><Relationship Type="http://schemas.openxmlformats.org/officeDocument/2006/relationships/worksheet" Target="/xl/worksheets/sheet4.xml" Id="R141f64d30b374dd8" /><Relationship Type="http://schemas.openxmlformats.org/officeDocument/2006/relationships/worksheet" Target="/xl/worksheets/sheet5.xml" Id="R55fa255cf0924c2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74410d651244984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Validation Status</a:t>
            </a:r>
          </a:p>
        </c:rich>
      </c:tx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Validator_Summary!$F$3:$F$5</c:f>
              <c:strCache>
                <c:ptCount val="3"/>
                <c:pt idx="0">
                  <c:v>Ready</c:v>
                </c:pt>
                <c:pt idx="1">
                  <c:v>Warning</c:v>
                </c:pt>
                <c:pt idx="2">
                  <c:v>Needs Fix</c:v>
                </c:pt>
              </c:strCache>
            </c:strRef>
          </c:cat>
          <c:val>
            <c:numRef>
              <c:f>Validator_Summary!$G$3:$G$5</c:f>
              <c:numCache>
                <c:formatCode>General</c:formatCode>
                <c:ptCount val="3"/>
                <c:pt idx="0">
                  <c:v>7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6</xdr:row>
      <xdr:rowOff>0</xdr:rowOff>
    </xdr:from>
    <xdr:to>
      <xdr:col>12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74410d65124498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QuestionBankTable" displayName="QuestionBankTable" ref="A1:AE301">
  <x:tableColumns count="31">
    <x:tableColumn id="1" name="QuestionID"/>
    <x:tableColumn id="2" name="Pool"/>
    <x:tableColumn id="3" name="Difficulty"/>
    <x:tableColumn id="4" name="QuestionText"/>
    <x:tableColumn id="5" name="OptionA"/>
    <x:tableColumn id="6" name="OptionB"/>
    <x:tableColumn id="7" name="OptionC"/>
    <x:tableColumn id="8" name="OptionD"/>
    <x:tableColumn id="9" name="CorrectAnswer"/>
    <x:tableColumn id="10" name="Feedback"/>
    <x:tableColumn id="11" name="Tag"/>
    <x:tableColumn id="12" name="Type"/>
    <x:tableColumn id="13" name="Objective"/>
    <x:tableColumn id="14" name="ObjectiveLabel"/>
    <x:tableColumn id="15" name="PrimarySkill"/>
    <x:tableColumn id="16" name="RepairSkill"/>
    <x:tableColumn id="17" name="CommonError"/>
    <x:tableColumn id="18" name="ConceptCluster"/>
    <x:tableColumn id="19" name="SecondarySkills"/>
    <x:tableColumn id="20" name="Hint"/>
    <x:tableColumn id="21" name="ImageFile"/>
    <x:tableColumn id="22" name="ImageAccessibilityNote"/>
    <x:tableColumn id="23" name="BossEligible"/>
    <x:tableColumn id="24" name="AnswerVerified"/>
    <x:tableColumn id="25" name="Notes"/>
    <x:tableColumn id="26" name="AnswerLengthAudit"/>
    <x:tableColumn id="27" name="DuplicateAudit"/>
    <x:tableColumn id="28" name="IDRangeAudit"/>
    <x:tableColumn id="29" name="ValidationStatus"/>
    <x:tableColumn id="30" name="ValidationMessage"/>
    <x:tableColumn id="31" name="ExportObje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be7eccd761543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e42005c2a20c48ea" /></Relationships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4.25"/>
  <x:cols>
    <x:col min="1" max="1" width="11" customWidth="1"/>
    <x:col min="2" max="2" width="15" customWidth="1"/>
    <x:col min="3" max="3" width="13" customWidth="1"/>
    <x:col min="4" max="4" width="38" customWidth="1"/>
    <x:col min="5" max="8" width="28" customWidth="1"/>
    <x:col min="9" max="9" width="13" customWidth="1"/>
    <x:col min="10" max="10" width="42" customWidth="1"/>
    <x:col min="11" max="11" width="18" customWidth="1"/>
    <x:col min="12" max="12" width="16" customWidth="1"/>
    <x:col min="13" max="13" width="12" customWidth="1"/>
    <x:col min="14" max="14" width="34" customWidth="1"/>
    <x:col min="15" max="16" width="22" customWidth="1"/>
    <x:col min="17" max="17" width="28" customWidth="1"/>
    <x:col min="18" max="18" width="24" customWidth="1"/>
    <x:col min="19" max="20" width="30" customWidth="1"/>
    <x:col min="21" max="21" width="22" customWidth="1"/>
    <x:col min="22" max="22" width="34" customWidth="1"/>
    <x:col min="23" max="24" width="14" customWidth="1"/>
    <x:col min="25" max="25" width="28" customWidth="1"/>
    <x:col min="26" max="26" width="24" customWidth="1"/>
    <x:col min="27" max="27" width="22" customWidth="1"/>
    <x:col min="28" max="28" width="20" customWidth="1"/>
    <x:col min="29" max="29" width="16" customWidth="1"/>
    <x:col min="30" max="30" width="48" customWidth="1"/>
    <x:col min="31" max="31" width="80" customWidth="1"/>
    <x:col min="32" max="32" width="15" hidden="0" customWidth="1"/>
    <x:col min="33" max="33" width="30" hidden="0" customWidth="1"/>
    <x:col min="34" max="34" width="30" hidden="0" customWidth="1"/>
    <x:col min="35" max="35" width="30" hidden="0" customWidth="1"/>
    <x:col min="36" max="36" width="30" hidden="0" customWidth="1"/>
  </x:cols>
  <x:sheetData>
    <x:row r="1" ht="42" customHeight="1">
      <x:c r="A1" s="61" t="s">
        <x:v>0</x:v>
      </x:c>
      <x:c r="B1" s="61" t="s">
        <x:v>1</x:v>
      </x:c>
      <x:c r="C1" s="61" t="s">
        <x:v>2</x:v>
      </x:c>
      <x:c r="D1" s="61" t="s">
        <x:v>3</x:v>
      </x:c>
      <x:c r="E1" s="61" t="s">
        <x:v>4</x:v>
      </x:c>
      <x:c r="F1" s="61" t="s">
        <x:v>5</x:v>
      </x:c>
      <x:c r="G1" s="61" t="s">
        <x:v>6</x:v>
      </x:c>
      <x:c r="H1" s="61" t="s">
        <x:v>7</x:v>
      </x:c>
      <x:c r="I1" s="61" t="s">
        <x:v>8</x:v>
      </x:c>
      <x:c r="J1" s="61" t="s">
        <x:v>9</x:v>
      </x:c>
      <x:c r="K1" s="61" t="s">
        <x:v>10</x:v>
      </x:c>
      <x:c r="L1" s="61" t="s">
        <x:v>11</x:v>
      </x:c>
      <x:c r="M1" s="61" t="s">
        <x:v>12</x:v>
      </x:c>
      <x:c r="N1" s="61" t="s">
        <x:v>13</x:v>
      </x:c>
      <x:c r="O1" s="61" t="s">
        <x:v>14</x:v>
      </x:c>
      <x:c r="P1" s="61" t="s">
        <x:v>15</x:v>
      </x:c>
      <x:c r="Q1" s="61" t="s">
        <x:v>16</x:v>
      </x:c>
      <x:c r="R1" s="61" t="s">
        <x:v>17</x:v>
      </x:c>
      <x:c r="S1" s="61" t="s">
        <x:v>18</x:v>
      </x:c>
      <x:c r="T1" s="61" t="s">
        <x:v>19</x:v>
      </x:c>
      <x:c r="U1" s="61" t="s">
        <x:v>20</x:v>
      </x:c>
      <x:c r="V1" s="61" t="str">
        <x:v>LegacyImageNote</x:v>
      </x:c>
      <x:c r="W1" s="61" t="s">
        <x:v>21</x:v>
      </x:c>
      <x:c r="X1" s="61" t="s">
        <x:v>22</x:v>
      </x:c>
      <x:c r="Y1" s="61" t="s">
        <x:v>23</x:v>
      </x:c>
      <x:c r="Z1" s="61" t="s">
        <x:v>24</x:v>
      </x:c>
      <x:c r="AA1" s="61" t="s">
        <x:v>25</x:v>
      </x:c>
      <x:c r="AB1" s="61" t="str">
        <x:v>IDConventionNote</x:v>
      </x:c>
      <x:c r="AC1" s="61" t="str">
        <x:v>DraftStatus</x:v>
      </x:c>
      <x:c r="AD1" s="61" t="str">
        <x:v>DraftMessage</x:v>
      </x:c>
      <x:c r="AE1" s="61" t="str">
        <x:v>NextStep</x:v>
      </x:c>
      <x:c r="AF1" s="64" t="str">
        <x:v>GraphRequired</x:v>
      </x:c>
      <x:c r="AG1" s="64" t="str">
        <x:v>AnswerHash</x:v>
      </x:c>
      <x:c r="AH1" s="64" t="str">
        <x:v>ImageAlt</x:v>
      </x:c>
      <x:c r="AI1" s="64" t="str">
        <x:v>GraphDescription</x:v>
      </x:c>
      <x:c r="AJ1" s="64" t="str">
        <x:v>BossStage</x:v>
      </x:c>
    </x:row>
    <x:row r="2" ht="88" customHeight="1">
      <x:c r="A2" s="15" t="str">
        <x:v>demo-1</x:v>
      </x:c>
      <x:c r="B2" s="15" t="str">
        <x:v>easy</x:v>
      </x:c>
      <x:c r="C2" s="15" t="str">
        <x:v>easy</x:v>
      </x:c>
      <x:c r="D2" s="12" t="str">
        <x:v>Graph practice 1: How many items do groups A and B contain altogether?</x:v>
      </x:c>
      <x:c r="E2" s="12" t="str">
        <x:v>6</x:v>
      </x:c>
      <x:c r="F2" s="12" t="str">
        <x:v>2</x:v>
      </x:c>
      <x:c r="G2" s="12" t="str">
        <x:v>4</x:v>
      </x:c>
      <x:c r="H2" s="12" t="str">
        <x:v>8</x:v>
      </x:c>
      <x:c r="I2" s="15" t="str">
        <x:v>A</x:v>
      </x:c>
      <x:c r="J2" s="12" t="str">
        <x:v>Group A has 2 items and group B has 4. Together they contain 6 items.</x:v>
      </x:c>
      <x:c r="K2" s="12" t="str">
        <x:v>numeracy</x:v>
      </x:c>
      <x:c r="L2" s="12" t="str">
        <x:v>graph</x:v>
      </x:c>
      <x:c r="M2" s="12" t="str">
        <x:v>NUM1</x:v>
      </x:c>
      <x:c r="N2" s="12" t="str">
        <x:v>Interpret addition and quantities on a bar chart</x:v>
      </x:c>
      <x:c r="O2" s="13" t="str">
        <x:v>addition</x:v>
      </x:c>
      <x:c r="P2" s="13" t="str">
        <x:v>addition</x:v>
      </x:c>
      <x:c r="Q2" s="13" t="str"/>
      <x:c r="R2" s="13" t="str"/>
      <x:c r="S2" s="13" t="str"/>
      <x:c r="T2" s="13" t="str"/>
      <x:c r="U2" s="14" t="str">
        <x:v>sample-bars.svg</x:v>
      </x:c>
      <x:c r="V2" s="14" t="str"/>
      <x:c r="W2" s="16" t="str"/>
      <x:c r="X2" s="16" t="str"/>
      <x:c r="Y2" s="14" t="str">
        <x:v>Demonstration only; replace with reviewed course content.</x:v>
      </x:c>
      <x:c r="Z2" s="66" t="str">
        <x:f t="shared" ref="Z2:Z65" si="0">IF(A2="","",IF(MAX(LEN(E2),LEN(F2),LEN(G2),LEN(H2))&gt;2*MIN(LEN(E2),LEN(F2),LEN(G2),LEN(H2)),"Review answer lengths",""))</x:f>
      </x:c>
      <x:c r="AA2" s="66" t="str">
        <x:f t="shared" ref="AA2:AA65" si="1">IF(A2="","",IF(COUNTIF($A$2:$A$301,A2)&gt;1,"Duplicate ID",IF(COUNTIF($D$2:$D$301,D2)&gt;1,"Review repeated text","")))</x:f>
      </x:c>
      <x:c r="AB2" s="66" t="str">
        <x:f t="shared" ref="AB2:AB65" si="2">IF(A2="","","Unique string or number; no numeric range required")</x:f>
        <x:v>Unique string or number; no numeric range required</x:v>
      </x:c>
      <x:c r="AC2" s="66" t="str">
        <x:f>IF(A2="","",IF(OR(B2="",D2="",E2="",F2="",G2="",H2="",J2="",K2="",L2="",M2="",O2="",P2="",AND(I2="",AG2=""),AND(B2&lt;&gt;"repair",B2&lt;&gt;"bridge",C2="")),"INCOMPLETE","CHECK ONLINE"))</x:f>
        <x:v>CHECK ONLINE</x:v>
      </x:c>
      <x:c r="AD2" s="67" t="str">
        <x:f>IF(A2="","",IF(AC2="INCOMPLETE","Fill required fields including RepairSkill and an answer. See Instructions.","Copy all columns with headers to the browser validator for full schema, assets and mode checks."))</x:f>
        <x:v>Copy all columns with headers to the browser validator for full schema, assets and mode checks.</x:v>
      </x:c>
      <x:c r="AE2" s="67" t="str">
        <x:f t="shared" ref="AE2:AE65" si="3">IF(A2="","","https://masteryquests.org/tools/question-bank-validator/")</x:f>
        <x:v>https://masteryquests.org/tools/question-bank-validator/</x:v>
      </x:c>
      <x:c r="AF2" s="60" t="str">
        <x:v>TRUE</x:v>
      </x:c>
      <x:c r="AG2" t="str"/>
      <x:c r="AH2" s="60" t="str">
        <x:v>Bar chart comparing two groups of items.</x:v>
      </x:c>
      <x:c r="AI2" s="60" t="str">
        <x:v>Group A contains 2 items. Group B contains 4 items. The vertical axis starts at zero. Group B has twice as many items.</x:v>
      </x:c>
      <x:c r="AJ2" t="str"/>
    </x:row>
    <x:row r="3" ht="88" customHeight="1">
      <x:c r="A3" s="15" t="str">
        <x:v>demo-13</x:v>
      </x:c>
      <x:c r="B3" s="15" t="str">
        <x:v>medium</x:v>
      </x:c>
      <x:c r="C3" s="15" t="str">
        <x:v>medium</x:v>
      </x:c>
      <x:c r="D3" s="12" t="str">
        <x:v>Practice 13: What is 13 + 2?</x:v>
      </x:c>
      <x:c r="E3" s="12" t="str">
        <x:v>15</x:v>
      </x:c>
      <x:c r="F3" s="12" t="str">
        <x:v>14</x:v>
      </x:c>
      <x:c r="G3" s="12" t="str">
        <x:v>16</x:v>
      </x:c>
      <x:c r="H3" s="12" t="str">
        <x:v>13</x:v>
      </x:c>
      <x:c r="I3" s="15" t="str">
        <x:v>A</x:v>
      </x:c>
      <x:c r="J3" s="12" t="str">
        <x:v>Add two to 13 to get 15. This starter demonstrates the workflow; replace it with your course content.</x:v>
      </x:c>
      <x:c r="K3" s="12" t="str">
        <x:v>numeracy</x:v>
      </x:c>
      <x:c r="L3" s="12" t="str">
        <x:v>calculation</x:v>
      </x:c>
      <x:c r="M3" s="12" t="str">
        <x:v>NUM1</x:v>
      </x:c>
      <x:c r="N3" s="12" t="str">
        <x:v>Interpret addition and quantities on a bar chart</x:v>
      </x:c>
      <x:c r="O3" s="13" t="str">
        <x:v>addition</x:v>
      </x:c>
      <x:c r="P3" s="13" t="str">
        <x:v>addition</x:v>
      </x:c>
      <x:c r="Q3" s="13" t="str"/>
      <x:c r="R3" s="13" t="str"/>
      <x:c r="S3" s="13" t="str"/>
      <x:c r="T3" s="13" t="str"/>
      <x:c r="U3" s="14" t="str"/>
      <x:c r="V3" s="14" t="str"/>
      <x:c r="W3" s="16" t="str"/>
      <x:c r="X3" s="16" t="str"/>
      <x:c r="Y3" s="14" t="str">
        <x:v>Demonstration only; replace with reviewed course content.</x:v>
      </x:c>
      <x:c r="Z3" s="66" t="str">
        <x:f t="shared" si="0">IF(A3="","",IF(MAX(LEN(E3),LEN(F3),LEN(G3),LEN(H3))&gt;2*MIN(LEN(E3),LEN(F3),LEN(G3),LEN(H3)),"Review answer lengths",""))</x:f>
      </x:c>
      <x:c r="AA3" s="66" t="str">
        <x:f t="shared" si="1">IF(A3="","",IF(COUNTIF($A$2:$A$301,A3)&gt;1,"Duplicate ID",IF(COUNTIF($D$2:$D$301,D3)&gt;1,"Review repeated text","")))</x:f>
      </x:c>
      <x:c r="AB3" s="66" t="str">
        <x:f t="shared" si="2">IF(A3="","","Unique string or number; no numeric range required")</x:f>
        <x:v>Unique string or number; no numeric range required</x:v>
      </x:c>
      <x:c r="AC3" s="66" t="str">
        <x:f>IF(A3="","",IF(OR(B3="",D3="",E3="",F3="",G3="",H3="",J3="",K3="",L3="",M3="",O3="",P3="",AND(I3="",AG3=""),AND(B3&lt;&gt;"repair",B3&lt;&gt;"bridge",C3="")),"INCOMPLETE","CHECK ONLINE"))</x:f>
        <x:v>CHECK ONLINE</x:v>
      </x:c>
      <x:c r="AD3" s="67" t="str">
        <x:f>IF(A3="","",IF(AC3="INCOMPLETE","Fill required fields including RepairSkill and an answer. See Instructions.","Copy all columns with headers to the browser validator for full schema, assets and mode checks."))</x:f>
        <x:v>Copy all columns with headers to the browser validator for full schema, assets and mode checks.</x:v>
      </x:c>
      <x:c r="AE3" s="67" t="str">
        <x:f t="shared" si="3">IF(A3="","","https://masteryquests.org/tools/question-bank-validator/")</x:f>
        <x:v>https://masteryquests.org/tools/question-bank-validator/</x:v>
      </x:c>
      <x:c r="AF3" s="60" t="str">
        <x:v>FALSE</x:v>
      </x:c>
      <x:c r="AG3" t="str"/>
      <x:c r="AH3" s="60" t="str"/>
      <x:c r="AI3" s="60" t="str"/>
      <x:c r="AJ3" t="str"/>
    </x:row>
    <x:row r="4" ht="88" customHeight="1">
      <x:c r="A4" s="15" t="str">
        <x:v>demo-61</x:v>
      </x:c>
      <x:c r="B4" s="15" t="str">
        <x:v>easyBoss</x:v>
      </x:c>
      <x:c r="C4" s="15" t="str">
        <x:v>easy</x:v>
      </x:c>
      <x:c r="D4" s="12" t="str">
        <x:v>Practice 61: What is 61 + 2?</x:v>
      </x:c>
      <x:c r="E4" s="12" t="str">
        <x:v>63</x:v>
      </x:c>
      <x:c r="F4" s="12" t="str">
        <x:v>62</x:v>
      </x:c>
      <x:c r="G4" s="12" t="str">
        <x:v>64</x:v>
      </x:c>
      <x:c r="H4" s="12" t="str">
        <x:v>61</x:v>
      </x:c>
      <x:c r="I4" s="15" t="str">
        <x:v>A</x:v>
      </x:c>
      <x:c r="J4" s="12" t="str">
        <x:v>Add two to 61 to get 63. This starter demonstrates the workflow; replace it with your course content.</x:v>
      </x:c>
      <x:c r="K4" s="12" t="str">
        <x:v>numeracy</x:v>
      </x:c>
      <x:c r="L4" s="12" t="str">
        <x:v>calculation</x:v>
      </x:c>
      <x:c r="M4" s="12" t="str">
        <x:v>NUM1</x:v>
      </x:c>
      <x:c r="N4" s="12" t="str">
        <x:v>Interpret addition and quantities on a bar chart</x:v>
      </x:c>
      <x:c r="O4" s="13" t="str">
        <x:v>addition</x:v>
      </x:c>
      <x:c r="P4" s="13" t="str">
        <x:v>addition</x:v>
      </x:c>
      <x:c r="Q4" s="13" t="str"/>
      <x:c r="R4" s="13" t="str"/>
      <x:c r="S4" s="13" t="str"/>
      <x:c r="T4" s="13" t="str"/>
      <x:c r="U4" s="14" t="str"/>
      <x:c r="V4" s="14" t="str"/>
      <x:c r="W4" s="16" t="str"/>
      <x:c r="X4" s="16" t="str"/>
      <x:c r="Y4" s="14" t="str">
        <x:v>Demonstration only; replace with reviewed course content.</x:v>
      </x:c>
      <x:c r="Z4" s="66" t="str">
        <x:f t="shared" si="0">IF(A4="","",IF(MAX(LEN(E4),LEN(F4),LEN(G4),LEN(H4))&gt;2*MIN(LEN(E4),LEN(F4),LEN(G4),LEN(H4)),"Review answer lengths",""))</x:f>
      </x:c>
      <x:c r="AA4" s="66" t="str">
        <x:f t="shared" si="1">IF(A4="","",IF(COUNTIF($A$2:$A$301,A4)&gt;1,"Duplicate ID",IF(COUNTIF($D$2:$D$301,D4)&gt;1,"Review repeated text","")))</x:f>
      </x:c>
      <x:c r="AB4" s="66" t="str">
        <x:f t="shared" si="2">IF(A4="","","Unique string or number; no numeric range required")</x:f>
        <x:v>Unique string or number; no numeric range required</x:v>
      </x:c>
      <x:c r="AC4" s="66" t="str">
        <x:f>IF(A4="","",IF(OR(B4="",D4="",E4="",F4="",G4="",H4="",J4="",K4="",L4="",M4="",O4="",P4="",AND(I4="",AG4=""),AND(B4&lt;&gt;"repair",B4&lt;&gt;"bridge",C4="")),"INCOMPLETE","CHECK ONLINE"))</x:f>
        <x:v>CHECK ONLINE</x:v>
      </x:c>
      <x:c r="AD4" s="67" t="str">
        <x:f>IF(A4="","",IF(AC4="INCOMPLETE","Fill required fields including RepairSkill and an answer. See Instructions.","Copy all columns with headers to the browser validator for full schema, assets and mode checks."))</x:f>
        <x:v>Copy all columns with headers to the browser validator for full schema, assets and mode checks.</x:v>
      </x:c>
      <x:c r="AE4" s="67" t="str">
        <x:f t="shared" si="3">IF(A4="","","https://masteryquests.org/tools/question-bank-validator/")</x:f>
        <x:v>https://masteryquests.org/tools/question-bank-validator/</x:v>
      </x:c>
      <x:c r="AF4" s="60" t="str">
        <x:v>FALSE</x:v>
      </x:c>
      <x:c r="AG4" t="str"/>
      <x:c r="AH4" s="60" t="str"/>
      <x:c r="AI4" s="60" t="str"/>
      <x:c r="AJ4" t="str"/>
    </x:row>
    <x:row r="5" ht="88" customHeight="1">
      <x:c r="A5" s="15" t="str">
        <x:v>demo-73</x:v>
      </x:c>
      <x:c r="B5" s="15" t="str">
        <x:v>repair</x:v>
      </x:c>
      <x:c r="C5" s="15" t="str">
        <x:v>easy</x:v>
      </x:c>
      <x:c r="D5" s="12" t="str">
        <x:v>Practice 73: What is 73 + 2?</x:v>
      </x:c>
      <x:c r="E5" s="12" t="str">
        <x:v>75</x:v>
      </x:c>
      <x:c r="F5" s="12" t="str">
        <x:v>74</x:v>
      </x:c>
      <x:c r="G5" s="12" t="str">
        <x:v>76</x:v>
      </x:c>
      <x:c r="H5" s="12" t="str">
        <x:v>73</x:v>
      </x:c>
      <x:c r="I5" s="15" t="str">
        <x:v>A</x:v>
      </x:c>
      <x:c r="J5" s="12" t="str">
        <x:v>Add two to 73 to get 75. This starter demonstrates the workflow; replace it with your course content.</x:v>
      </x:c>
      <x:c r="K5" s="12" t="str">
        <x:v>numeracy</x:v>
      </x:c>
      <x:c r="L5" s="12" t="str">
        <x:v>calculation</x:v>
      </x:c>
      <x:c r="M5" s="12" t="str">
        <x:v>NUM1</x:v>
      </x:c>
      <x:c r="N5" s="12" t="str">
        <x:v>Interpret addition and quantities on a bar chart</x:v>
      </x:c>
      <x:c r="O5" s="13" t="str">
        <x:v>addition</x:v>
      </x:c>
      <x:c r="P5" s="13" t="str">
        <x:v>addition</x:v>
      </x:c>
      <x:c r="Q5" s="13" t="str"/>
      <x:c r="R5" s="13" t="str"/>
      <x:c r="S5" s="13" t="str"/>
      <x:c r="T5" s="13" t="str"/>
      <x:c r="U5" s="14" t="str"/>
      <x:c r="V5" s="14" t="str"/>
      <x:c r="W5" s="16" t="str"/>
      <x:c r="X5" s="16" t="str"/>
      <x:c r="Y5" s="14" t="str">
        <x:v>Demonstration only; replace with reviewed course content.</x:v>
      </x:c>
      <x:c r="Z5" s="66" t="str">
        <x:f t="shared" si="0">IF(A5="","",IF(MAX(LEN(E5),LEN(F5),LEN(G5),LEN(H5))&gt;2*MIN(LEN(E5),LEN(F5),LEN(G5),LEN(H5)),"Review answer lengths",""))</x:f>
      </x:c>
      <x:c r="AA5" s="66" t="str">
        <x:f t="shared" si="1">IF(A5="","",IF(COUNTIF($A$2:$A$301,A5)&gt;1,"Duplicate ID",IF(COUNTIF($D$2:$D$301,D5)&gt;1,"Review repeated text","")))</x:f>
      </x:c>
      <x:c r="AB5" s="66" t="str">
        <x:f t="shared" si="2">IF(A5="","","Unique string or number; no numeric range required")</x:f>
        <x:v>Unique string or number; no numeric range required</x:v>
      </x:c>
      <x:c r="AC5" s="66" t="str">
        <x:f>IF(A5="","",IF(OR(B5="",D5="",E5="",F5="",G5="",H5="",J5="",K5="",L5="",M5="",O5="",P5="",AND(I5="",AG5=""),AND(B5&lt;&gt;"repair",B5&lt;&gt;"bridge",C5="")),"INCOMPLETE","CHECK ONLINE"))</x:f>
        <x:v>CHECK ONLINE</x:v>
      </x:c>
      <x:c r="AD5" s="67" t="str">
        <x:f>IF(A5="","",IF(AC5="INCOMPLETE","Fill required fields including RepairSkill and an answer. See Instructions.","Copy all columns with headers to the browser validator for full schema, assets and mode checks."))</x:f>
        <x:v>Copy all columns with headers to the browser validator for full schema, assets and mode checks.</x:v>
      </x:c>
      <x:c r="AE5" s="67" t="str">
        <x:f t="shared" si="3">IF(A5="","","https://masteryquests.org/tools/question-bank-validator/")</x:f>
        <x:v>https://masteryquests.org/tools/question-bank-validator/</x:v>
      </x:c>
      <x:c r="AF5" s="60" t="str">
        <x:v>FALSE</x:v>
      </x:c>
      <x:c r="AG5" t="str"/>
      <x:c r="AH5" s="60" t="str"/>
      <x:c r="AI5" s="60" t="str"/>
      <x:c r="AJ5" t="str"/>
    </x:row>
    <x:row r="6" ht="88" customHeight="1">
      <x:c r="A6" s="15" t="str">
        <x:v>demo-76</x:v>
      </x:c>
      <x:c r="B6" s="15" t="str">
        <x:v>bridge</x:v>
      </x:c>
      <x:c r="C6" s="15" t="str">
        <x:v>easy</x:v>
      </x:c>
      <x:c r="D6" s="12" t="str">
        <x:v>Practice 76: What is 76 + 2?</x:v>
      </x:c>
      <x:c r="E6" s="12" t="str">
        <x:v>78</x:v>
      </x:c>
      <x:c r="F6" s="12" t="str">
        <x:v>77</x:v>
      </x:c>
      <x:c r="G6" s="12" t="str">
        <x:v>79</x:v>
      </x:c>
      <x:c r="H6" s="12" t="str">
        <x:v>76</x:v>
      </x:c>
      <x:c r="I6" s="15" t="str">
        <x:v>A</x:v>
      </x:c>
      <x:c r="J6" s="12" t="str">
        <x:v>Add two to 76 to get 78. This starter demonstrates the workflow; replace it with your course content.</x:v>
      </x:c>
      <x:c r="K6" s="12" t="str">
        <x:v>numeracy</x:v>
      </x:c>
      <x:c r="L6" s="12" t="str">
        <x:v>calculation</x:v>
      </x:c>
      <x:c r="M6" s="12" t="str">
        <x:v>NUM1</x:v>
      </x:c>
      <x:c r="N6" s="12" t="str">
        <x:v>Interpret addition and quantities on a bar chart</x:v>
      </x:c>
      <x:c r="O6" s="13" t="str">
        <x:v>addition</x:v>
      </x:c>
      <x:c r="P6" s="13" t="str">
        <x:v>addition</x:v>
      </x:c>
      <x:c r="Q6" s="13" t="str"/>
      <x:c r="R6" s="13" t="str"/>
      <x:c r="S6" s="13" t="str"/>
      <x:c r="T6" s="13" t="str"/>
      <x:c r="U6" s="14" t="str"/>
      <x:c r="V6" s="14" t="str"/>
      <x:c r="W6" s="16" t="str"/>
      <x:c r="X6" s="16" t="str"/>
      <x:c r="Y6" s="14" t="str">
        <x:v>Demonstration only; replace with reviewed course content.</x:v>
      </x:c>
      <x:c r="Z6" s="66" t="str">
        <x:f t="shared" si="0">IF(A6="","",IF(MAX(LEN(E6),LEN(F6),LEN(G6),LEN(H6))&gt;2*MIN(LEN(E6),LEN(F6),LEN(G6),LEN(H6)),"Review answer lengths",""))</x:f>
      </x:c>
      <x:c r="AA6" s="66" t="str">
        <x:f t="shared" si="1">IF(A6="","",IF(COUNTIF($A$2:$A$301,A6)&gt;1,"Duplicate ID",IF(COUNTIF($D$2:$D$301,D6)&gt;1,"Review repeated text","")))</x:f>
      </x:c>
      <x:c r="AB6" s="66" t="str">
        <x:f t="shared" si="2">IF(A6="","","Unique string or number; no numeric range required")</x:f>
        <x:v>Unique string or number; no numeric range required</x:v>
      </x:c>
      <x:c r="AC6" s="66" t="str">
        <x:f>IF(A6="","",IF(OR(B6="",D6="",E6="",F6="",G6="",H6="",J6="",K6="",L6="",M6="",O6="",P6="",AND(I6="",AG6=""),AND(B6&lt;&gt;"repair",B6&lt;&gt;"bridge",C6="")),"INCOMPLETE","CHECK ONLINE"))</x:f>
        <x:v>CHECK ONLINE</x:v>
      </x:c>
      <x:c r="AD6" s="67" t="str">
        <x:f>IF(A6="","",IF(AC6="INCOMPLETE","Fill required fields including RepairSkill and an answer. See Instructions.","Copy all columns with headers to the browser validator for full schema, assets and mode checks."))</x:f>
        <x:v>Copy all columns with headers to the browser validator for full schema, assets and mode checks.</x:v>
      </x:c>
      <x:c r="AE6" s="67" t="str">
        <x:f t="shared" si="3">IF(A6="","","https://masteryquests.org/tools/question-bank-validator/")</x:f>
        <x:v>https://masteryquests.org/tools/question-bank-validator/</x:v>
      </x:c>
      <x:c r="AF6" s="60" t="str">
        <x:v>FALSE</x:v>
      </x:c>
      <x:c r="AG6" t="str"/>
      <x:c r="AH6" s="60" t="str"/>
      <x:c r="AI6" s="60" t="str"/>
      <x:c r="AJ6" t="str"/>
    </x:row>
    <x:row r="7" ht="45" customHeight="1">
      <x:c r="A7" s="15"/>
      <x:c r="B7" s="15"/>
      <x:c r="C7" s="15"/>
      <x:c r="D7" s="12"/>
      <x:c r="E7" s="12"/>
      <x:c r="F7" s="12"/>
      <x:c r="G7" s="12"/>
      <x:c r="H7" s="12"/>
      <x:c r="I7" s="15"/>
      <x:c r="J7" s="12"/>
      <x:c r="K7" s="12"/>
      <x:c r="L7" s="12"/>
      <x:c r="M7" s="12"/>
      <x:c r="N7" s="12"/>
      <x:c r="O7" s="13"/>
      <x:c r="P7" s="13"/>
      <x:c r="Q7" s="13"/>
      <x:c r="R7" s="13"/>
      <x:c r="S7" s="13"/>
      <x:c r="T7" s="13"/>
      <x:c r="U7" s="14"/>
      <x:c r="V7" s="14"/>
      <x:c r="W7" s="16"/>
      <x:c r="X7" s="16"/>
      <x:c r="Y7" s="14"/>
      <x:c r="Z7" s="66" t="str">
        <x:f t="shared" si="0">IF(A7="","",IF(MAX(LEN(E7),LEN(F7),LEN(G7),LEN(H7))&gt;2*MIN(LEN(E7),LEN(F7),LEN(G7),LEN(H7)),"Review answer lengths",""))</x:f>
      </x:c>
      <x:c r="AA7" s="66" t="str">
        <x:f t="shared" si="1">IF(A7="","",IF(COUNTIF($A$2:$A$301,A7)&gt;1,"Duplicate ID",IF(COUNTIF($D$2:$D$301,D7)&gt;1,"Review repeated text","")))</x:f>
      </x:c>
      <x:c r="AB7" s="66" t="str">
        <x:f t="shared" si="2">IF(A7="","","Unique string or number; no numeric range required")</x:f>
      </x:c>
      <x:c r="AC7" s="66" t="str">
        <x:f>IF(A7="","",IF(OR(B7="",D7="",E7="",F7="",G7="",H7="",J7="",K7="",L7="",M7="",O7="",P7="",AND(I7="",AG7=""),AND(B7&lt;&gt;"repair",B7&lt;&gt;"bridge",C7="")),"INCOMPLETE","CHECK ONLINE"))</x:f>
      </x:c>
      <x:c r="AD7" s="67" t="str">
        <x:f>IF(A7="","",IF(AC7="INCOMPLETE","Fill required fields including RepairSkill and an answer. See Instructions.","Copy all columns with headers to the browser validator for full schema, assets and mode checks."))</x:f>
      </x:c>
      <x:c r="AE7" s="67" t="str">
        <x:f t="shared" si="3">IF(A7="","","https://masteryquests.org/tools/question-bank-validator/")</x:f>
      </x:c>
      <x:c r="AF7" s="60"/>
      <x:c r="AH7" s="60"/>
      <x:c r="AI7" s="60"/>
    </x:row>
    <x:row r="8" ht="45" customHeight="1">
      <x:c r="A8" s="15"/>
      <x:c r="B8" s="15"/>
      <x:c r="C8" s="15"/>
      <x:c r="D8" s="12"/>
      <x:c r="E8" s="12"/>
      <x:c r="F8" s="12"/>
      <x:c r="G8" s="12"/>
      <x:c r="H8" s="12"/>
      <x:c r="I8" s="15"/>
      <x:c r="J8" s="12"/>
      <x:c r="K8" s="12"/>
      <x:c r="L8" s="12"/>
      <x:c r="M8" s="12"/>
      <x:c r="N8" s="12"/>
      <x:c r="O8" s="13"/>
      <x:c r="P8" s="13"/>
      <x:c r="Q8" s="13"/>
      <x:c r="R8" s="13"/>
      <x:c r="S8" s="13"/>
      <x:c r="T8" s="13"/>
      <x:c r="U8" s="14"/>
      <x:c r="V8" s="14"/>
      <x:c r="W8" s="16"/>
      <x:c r="X8" s="16"/>
      <x:c r="Y8" s="14"/>
      <x:c r="Z8" s="66" t="str">
        <x:f t="shared" si="0">IF(A8="","",IF(MAX(LEN(E8),LEN(F8),LEN(G8),LEN(H8))&gt;2*MIN(LEN(E8),LEN(F8),LEN(G8),LEN(H8)),"Review answer lengths",""))</x:f>
      </x:c>
      <x:c r="AA8" s="66" t="str">
        <x:f t="shared" si="1">IF(A8="","",IF(COUNTIF($A$2:$A$301,A8)&gt;1,"Duplicate ID",IF(COUNTIF($D$2:$D$301,D8)&gt;1,"Review repeated text","")))</x:f>
      </x:c>
      <x:c r="AB8" s="66" t="str">
        <x:f t="shared" si="2">IF(A8="","","Unique string or number; no numeric range required")</x:f>
      </x:c>
      <x:c r="AC8" s="66" t="str">
        <x:f>IF(A8="","",IF(OR(B8="",D8="",E8="",F8="",G8="",H8="",J8="",K8="",L8="",M8="",O8="",P8="",AND(I8="",AG8=""),AND(B8&lt;&gt;"repair",B8&lt;&gt;"bridge",C8="")),"INCOMPLETE","CHECK ONLINE"))</x:f>
      </x:c>
      <x:c r="AD8" s="67" t="str">
        <x:f>IF(A8="","",IF(AC8="INCOMPLETE","Fill required fields including RepairSkill and an answer. See Instructions.","Copy all columns with headers to the browser validator for full schema, assets and mode checks."))</x:f>
      </x:c>
      <x:c r="AE8" s="67" t="str">
        <x:f t="shared" si="3">IF(A8="","","https://masteryquests.org/tools/question-bank-validator/")</x:f>
      </x:c>
      <x:c r="AF8" s="60"/>
      <x:c r="AH8" s="60"/>
      <x:c r="AI8" s="60"/>
    </x:row>
    <x:row r="9" ht="45" customHeight="1">
      <x:c r="A9" s="15"/>
      <x:c r="B9" s="15"/>
      <x:c r="C9" s="15"/>
      <x:c r="D9" s="12"/>
      <x:c r="E9" s="12"/>
      <x:c r="F9" s="12"/>
      <x:c r="G9" s="12"/>
      <x:c r="H9" s="12"/>
      <x:c r="I9" s="15"/>
      <x:c r="J9" s="12"/>
      <x:c r="K9" s="12"/>
      <x:c r="L9" s="12"/>
      <x:c r="M9" s="12"/>
      <x:c r="N9" s="12"/>
      <x:c r="O9" s="13"/>
      <x:c r="P9" s="13"/>
      <x:c r="Q9" s="13"/>
      <x:c r="R9" s="13"/>
      <x:c r="S9" s="13"/>
      <x:c r="T9" s="13"/>
      <x:c r="U9" s="14"/>
      <x:c r="V9" s="14"/>
      <x:c r="W9" s="16"/>
      <x:c r="X9" s="16"/>
      <x:c r="Y9" s="14"/>
      <x:c r="Z9" s="66" t="str">
        <x:f t="shared" si="0">IF(A9="","",IF(MAX(LEN(E9),LEN(F9),LEN(G9),LEN(H9))&gt;2*MIN(LEN(E9),LEN(F9),LEN(G9),LEN(H9)),"Review answer lengths",""))</x:f>
      </x:c>
      <x:c r="AA9" s="66" t="str">
        <x:f t="shared" si="1">IF(A9="","",IF(COUNTIF($A$2:$A$301,A9)&gt;1,"Duplicate ID",IF(COUNTIF($D$2:$D$301,D9)&gt;1,"Review repeated text","")))</x:f>
      </x:c>
      <x:c r="AB9" s="66" t="str">
        <x:f t="shared" si="2">IF(A9="","","Unique string or number; no numeric range required")</x:f>
      </x:c>
      <x:c r="AC9" s="66" t="str">
        <x:f>IF(A9="","",IF(OR(B9="",D9="",E9="",F9="",G9="",H9="",J9="",K9="",L9="",M9="",O9="",P9="",AND(I9="",AG9=""),AND(B9&lt;&gt;"repair",B9&lt;&gt;"bridge",C9="")),"INCOMPLETE","CHECK ONLINE"))</x:f>
      </x:c>
      <x:c r="AD9" s="67" t="str">
        <x:f>IF(A9="","",IF(AC9="INCOMPLETE","Fill required fields including RepairSkill and an answer. See Instructions.","Copy all columns with headers to the browser validator for full schema, assets and mode checks."))</x:f>
      </x:c>
      <x:c r="AE9" s="67" t="str">
        <x:f t="shared" si="3">IF(A9="","","https://masteryquests.org/tools/question-bank-validator/")</x:f>
      </x:c>
      <x:c r="AF9" s="60"/>
      <x:c r="AH9" s="60"/>
      <x:c r="AI9" s="60"/>
    </x:row>
    <x:row r="10" ht="45" customHeight="1">
      <x:c r="A10" s="15"/>
      <x:c r="B10" s="15"/>
      <x:c r="C10" s="15"/>
      <x:c r="D10" s="12"/>
      <x:c r="E10" s="12"/>
      <x:c r="F10" s="12"/>
      <x:c r="G10" s="12"/>
      <x:c r="H10" s="12"/>
      <x:c r="I10" s="15"/>
      <x:c r="J10" s="12"/>
      <x:c r="K10" s="12"/>
      <x:c r="L10" s="12"/>
      <x:c r="M10" s="12"/>
      <x:c r="N10" s="12"/>
      <x:c r="O10" s="13"/>
      <x:c r="P10" s="13"/>
      <x:c r="Q10" s="13"/>
      <x:c r="R10" s="13"/>
      <x:c r="S10" s="13"/>
      <x:c r="T10" s="13"/>
      <x:c r="U10" s="14"/>
      <x:c r="V10" s="14"/>
      <x:c r="W10" s="16"/>
      <x:c r="X10" s="16"/>
      <x:c r="Y10" s="14"/>
      <x:c r="Z10" s="66" t="str">
        <x:f t="shared" si="0">IF(A10="","",IF(MAX(LEN(E10),LEN(F10),LEN(G10),LEN(H10))&gt;2*MIN(LEN(E10),LEN(F10),LEN(G10),LEN(H10)),"Review answer lengths",""))</x:f>
      </x:c>
      <x:c r="AA10" s="66" t="str">
        <x:f t="shared" si="1">IF(A10="","",IF(COUNTIF($A$2:$A$301,A10)&gt;1,"Duplicate ID",IF(COUNTIF($D$2:$D$301,D10)&gt;1,"Review repeated text","")))</x:f>
      </x:c>
      <x:c r="AB10" s="66" t="str">
        <x:f t="shared" si="2">IF(A10="","","Unique string or number; no numeric range required")</x:f>
      </x:c>
      <x:c r="AC10" s="66" t="str">
        <x:f>IF(A10="","",IF(OR(B10="",D10="",E10="",F10="",G10="",H10="",J10="",K10="",L10="",M10="",O10="",P10="",AND(I10="",AG10=""),AND(B10&lt;&gt;"repair",B10&lt;&gt;"bridge",C10="")),"INCOMPLETE","CHECK ONLINE"))</x:f>
      </x:c>
      <x:c r="AD10" s="67" t="str">
        <x:f>IF(A10="","",IF(AC10="INCOMPLETE","Fill required fields including RepairSkill and an answer. See Instructions.","Copy all columns with headers to the browser validator for full schema, assets and mode checks."))</x:f>
      </x:c>
      <x:c r="AE10" s="67" t="str">
        <x:f t="shared" si="3">IF(A10="","","https://masteryquests.org/tools/question-bank-validator/")</x:f>
      </x:c>
      <x:c r="AF10" s="60"/>
      <x:c r="AH10" s="60"/>
      <x:c r="AI10" s="60"/>
    </x:row>
    <x:row r="11" ht="45" customHeight="1">
      <x:c r="A11" s="15"/>
      <x:c r="B11" s="15"/>
      <x:c r="C11" s="15"/>
      <x:c r="D11" s="12"/>
      <x:c r="E11" s="12"/>
      <x:c r="F11" s="12"/>
      <x:c r="G11" s="12"/>
      <x:c r="H11" s="12"/>
      <x:c r="I11" s="15"/>
      <x:c r="J11" s="12"/>
      <x:c r="K11" s="12"/>
      <x:c r="L11" s="12"/>
      <x:c r="M11" s="12"/>
      <x:c r="N11" s="12"/>
      <x:c r="O11" s="13"/>
      <x:c r="P11" s="13"/>
      <x:c r="Q11" s="13"/>
      <x:c r="R11" s="13"/>
      <x:c r="S11" s="13"/>
      <x:c r="T11" s="13"/>
      <x:c r="U11" s="14"/>
      <x:c r="V11" s="14"/>
      <x:c r="W11" s="16"/>
      <x:c r="X11" s="16"/>
      <x:c r="Y11" s="14"/>
      <x:c r="Z11" s="66" t="str">
        <x:f t="shared" si="0">IF(A11="","",IF(MAX(LEN(E11),LEN(F11),LEN(G11),LEN(H11))&gt;2*MIN(LEN(E11),LEN(F11),LEN(G11),LEN(H11)),"Review answer lengths",""))</x:f>
      </x:c>
      <x:c r="AA11" s="66" t="str">
        <x:f t="shared" si="1">IF(A11="","",IF(COUNTIF($A$2:$A$301,A11)&gt;1,"Duplicate ID",IF(COUNTIF($D$2:$D$301,D11)&gt;1,"Review repeated text","")))</x:f>
      </x:c>
      <x:c r="AB11" s="66" t="str">
        <x:f t="shared" si="2">IF(A11="","","Unique string or number; no numeric range required")</x:f>
      </x:c>
      <x:c r="AC11" s="66" t="str">
        <x:f>IF(A11="","",IF(OR(B11="",D11="",E11="",F11="",G11="",H11="",J11="",K11="",L11="",M11="",O11="",P11="",AND(I11="",AG11=""),AND(B11&lt;&gt;"repair",B11&lt;&gt;"bridge",C11="")),"INCOMPLETE","CHECK ONLINE"))</x:f>
      </x:c>
      <x:c r="AD11" s="67" t="str">
        <x:f>IF(A11="","",IF(AC11="INCOMPLETE","Fill required fields including RepairSkill and an answer. See Instructions.","Copy all columns with headers to the browser validator for full schema, assets and mode checks."))</x:f>
      </x:c>
      <x:c r="AE11" s="67" t="str">
        <x:f t="shared" si="3">IF(A11="","","https://masteryquests.org/tools/question-bank-validator/")</x:f>
      </x:c>
      <x:c r="AF11" s="60"/>
      <x:c r="AH11" s="60"/>
      <x:c r="AI11" s="60"/>
    </x:row>
    <x:row r="12" ht="45" customHeight="1">
      <x:c r="A12" s="15"/>
      <x:c r="B12" s="15"/>
      <x:c r="C12" s="15"/>
      <x:c r="D12" s="12"/>
      <x:c r="E12" s="12"/>
      <x:c r="F12" s="12"/>
      <x:c r="G12" s="12"/>
      <x:c r="H12" s="12"/>
      <x:c r="I12" s="15"/>
      <x:c r="J12" s="12"/>
      <x:c r="K12" s="12"/>
      <x:c r="L12" s="12"/>
      <x:c r="M12" s="12"/>
      <x:c r="N12" s="12"/>
      <x:c r="O12" s="13"/>
      <x:c r="P12" s="13"/>
      <x:c r="Q12" s="13"/>
      <x:c r="R12" s="13"/>
      <x:c r="S12" s="13"/>
      <x:c r="T12" s="13"/>
      <x:c r="U12" s="14"/>
      <x:c r="V12" s="14"/>
      <x:c r="W12" s="16"/>
      <x:c r="X12" s="16"/>
      <x:c r="Y12" s="14"/>
      <x:c r="Z12" s="66" t="str">
        <x:f t="shared" si="0">IF(A12="","",IF(MAX(LEN(E12),LEN(F12),LEN(G12),LEN(H12))&gt;2*MIN(LEN(E12),LEN(F12),LEN(G12),LEN(H12)),"Review answer lengths",""))</x:f>
      </x:c>
      <x:c r="AA12" s="66" t="str">
        <x:f t="shared" si="1">IF(A12="","",IF(COUNTIF($A$2:$A$301,A12)&gt;1,"Duplicate ID",IF(COUNTIF($D$2:$D$301,D12)&gt;1,"Review repeated text","")))</x:f>
      </x:c>
      <x:c r="AB12" s="66" t="str">
        <x:f t="shared" si="2">IF(A12="","","Unique string or number; no numeric range required")</x:f>
      </x:c>
      <x:c r="AC12" s="66" t="str">
        <x:f>IF(A12="","",IF(OR(B12="",D12="",E12="",F12="",G12="",H12="",J12="",K12="",L12="",M12="",O12="",P12="",AND(I12="",AG12=""),AND(B12&lt;&gt;"repair",B12&lt;&gt;"bridge",C12="")),"INCOMPLETE","CHECK ONLINE"))</x:f>
      </x:c>
      <x:c r="AD12" s="67" t="str">
        <x:f>IF(A12="","",IF(AC12="INCOMPLETE","Fill required fields including RepairSkill and an answer. See Instructions.","Copy all columns with headers to the browser validator for full schema, assets and mode checks."))</x:f>
      </x:c>
      <x:c r="AE12" s="67" t="str">
        <x:f t="shared" si="3">IF(A12="","","https://masteryquests.org/tools/question-bank-validator/")</x:f>
      </x:c>
      <x:c r="AF12" s="60"/>
      <x:c r="AH12" s="60"/>
      <x:c r="AI12" s="60"/>
    </x:row>
    <x:row r="13" ht="45" customHeight="1">
      <x:c r="A13" s="15"/>
      <x:c r="B13" s="15"/>
      <x:c r="C13" s="15"/>
      <x:c r="D13" s="12"/>
      <x:c r="E13" s="12"/>
      <x:c r="F13" s="12"/>
      <x:c r="G13" s="12"/>
      <x:c r="H13" s="12"/>
      <x:c r="I13" s="15"/>
      <x:c r="J13" s="12"/>
      <x:c r="K13" s="12"/>
      <x:c r="L13" s="12"/>
      <x:c r="M13" s="12"/>
      <x:c r="N13" s="12"/>
      <x:c r="O13" s="13"/>
      <x:c r="P13" s="13"/>
      <x:c r="Q13" s="13"/>
      <x:c r="R13" s="13"/>
      <x:c r="S13" s="13"/>
      <x:c r="T13" s="13"/>
      <x:c r="U13" s="14"/>
      <x:c r="V13" s="14"/>
      <x:c r="W13" s="16"/>
      <x:c r="X13" s="16"/>
      <x:c r="Y13" s="14"/>
      <x:c r="Z13" s="66" t="str">
        <x:f t="shared" si="0">IF(A13="","",IF(MAX(LEN(E13),LEN(F13),LEN(G13),LEN(H13))&gt;2*MIN(LEN(E13),LEN(F13),LEN(G13),LEN(H13)),"Review answer lengths",""))</x:f>
      </x:c>
      <x:c r="AA13" s="66" t="str">
        <x:f t="shared" si="1">IF(A13="","",IF(COUNTIF($A$2:$A$301,A13)&gt;1,"Duplicate ID",IF(COUNTIF($D$2:$D$301,D13)&gt;1,"Review repeated text","")))</x:f>
      </x:c>
      <x:c r="AB13" s="66" t="str">
        <x:f t="shared" si="2">IF(A13="","","Unique string or number; no numeric range required")</x:f>
      </x:c>
      <x:c r="AC13" s="66" t="str">
        <x:f>IF(A13="","",IF(OR(B13="",D13="",E13="",F13="",G13="",H13="",J13="",K13="",L13="",M13="",O13="",P13="",AND(I13="",AG13=""),AND(B13&lt;&gt;"repair",B13&lt;&gt;"bridge",C13="")),"INCOMPLETE","CHECK ONLINE"))</x:f>
      </x:c>
      <x:c r="AD13" s="67" t="str">
        <x:f>IF(A13="","",IF(AC13="INCOMPLETE","Fill required fields including RepairSkill and an answer. See Instructions.","Copy all columns with headers to the browser validator for full schema, assets and mode checks."))</x:f>
      </x:c>
      <x:c r="AE13" s="67" t="str">
        <x:f t="shared" si="3">IF(A13="","","https://masteryquests.org/tools/question-bank-validator/")</x:f>
      </x:c>
      <x:c r="AF13" s="60"/>
      <x:c r="AH13" s="60"/>
      <x:c r="AI13" s="60"/>
    </x:row>
    <x:row r="14" ht="45" customHeight="1">
      <x:c r="A14" s="15"/>
      <x:c r="B14" s="15"/>
      <x:c r="C14" s="15"/>
      <x:c r="D14" s="12"/>
      <x:c r="E14" s="12"/>
      <x:c r="F14" s="12"/>
      <x:c r="G14" s="12"/>
      <x:c r="H14" s="12"/>
      <x:c r="I14" s="15"/>
      <x:c r="J14" s="12"/>
      <x:c r="K14" s="12"/>
      <x:c r="L14" s="12"/>
      <x:c r="M14" s="12"/>
      <x:c r="N14" s="12"/>
      <x:c r="O14" s="13"/>
      <x:c r="P14" s="13"/>
      <x:c r="Q14" s="13"/>
      <x:c r="R14" s="13"/>
      <x:c r="S14" s="13"/>
      <x:c r="T14" s="13"/>
      <x:c r="U14" s="14"/>
      <x:c r="V14" s="14"/>
      <x:c r="W14" s="16"/>
      <x:c r="X14" s="16"/>
      <x:c r="Y14" s="14"/>
      <x:c r="Z14" s="66" t="str">
        <x:f t="shared" si="0">IF(A14="","",IF(MAX(LEN(E14),LEN(F14),LEN(G14),LEN(H14))&gt;2*MIN(LEN(E14),LEN(F14),LEN(G14),LEN(H14)),"Review answer lengths",""))</x:f>
      </x:c>
      <x:c r="AA14" s="66" t="str">
        <x:f t="shared" si="1">IF(A14="","",IF(COUNTIF($A$2:$A$301,A14)&gt;1,"Duplicate ID",IF(COUNTIF($D$2:$D$301,D14)&gt;1,"Review repeated text","")))</x:f>
      </x:c>
      <x:c r="AB14" s="66" t="str">
        <x:f t="shared" si="2">IF(A14="","","Unique string or number; no numeric range required")</x:f>
      </x:c>
      <x:c r="AC14" s="66" t="str">
        <x:f>IF(A14="","",IF(OR(B14="",D14="",E14="",F14="",G14="",H14="",J14="",K14="",L14="",M14="",O14="",P14="",AND(I14="",AG14=""),AND(B14&lt;&gt;"repair",B14&lt;&gt;"bridge",C14="")),"INCOMPLETE","CHECK ONLINE"))</x:f>
      </x:c>
      <x:c r="AD14" s="67" t="str">
        <x:f>IF(A14="","",IF(AC14="INCOMPLETE","Fill required fields including RepairSkill and an answer. See Instructions.","Copy all columns with headers to the browser validator for full schema, assets and mode checks."))</x:f>
      </x:c>
      <x:c r="AE14" s="67" t="str">
        <x:f t="shared" si="3">IF(A14="","","https://masteryquests.org/tools/question-bank-validator/")</x:f>
      </x:c>
      <x:c r="AF14" s="60"/>
      <x:c r="AH14" s="60"/>
      <x:c r="AI14" s="60"/>
    </x:row>
    <x:row r="15" ht="45" customHeight="1">
      <x:c r="A15" s="15"/>
      <x:c r="B15" s="15"/>
      <x:c r="C15" s="15"/>
      <x:c r="D15" s="12"/>
      <x:c r="E15" s="12"/>
      <x:c r="F15" s="12"/>
      <x:c r="G15" s="12"/>
      <x:c r="H15" s="12"/>
      <x:c r="I15" s="15"/>
      <x:c r="J15" s="12"/>
      <x:c r="K15" s="12"/>
      <x:c r="L15" s="12"/>
      <x:c r="M15" s="12"/>
      <x:c r="N15" s="12"/>
      <x:c r="O15" s="13"/>
      <x:c r="P15" s="13"/>
      <x:c r="Q15" s="13"/>
      <x:c r="R15" s="13"/>
      <x:c r="S15" s="13"/>
      <x:c r="T15" s="13"/>
      <x:c r="U15" s="14"/>
      <x:c r="V15" s="14"/>
      <x:c r="W15" s="16"/>
      <x:c r="X15" s="16"/>
      <x:c r="Y15" s="14"/>
      <x:c r="Z15" s="66" t="str">
        <x:f t="shared" si="0">IF(A15="","",IF(MAX(LEN(E15),LEN(F15),LEN(G15),LEN(H15))&gt;2*MIN(LEN(E15),LEN(F15),LEN(G15),LEN(H15)),"Review answer lengths",""))</x:f>
      </x:c>
      <x:c r="AA15" s="66" t="str">
        <x:f t="shared" si="1">IF(A15="","",IF(COUNTIF($A$2:$A$301,A15)&gt;1,"Duplicate ID",IF(COUNTIF($D$2:$D$301,D15)&gt;1,"Review repeated text","")))</x:f>
      </x:c>
      <x:c r="AB15" s="66" t="str">
        <x:f t="shared" si="2">IF(A15="","","Unique string or number; no numeric range required")</x:f>
      </x:c>
      <x:c r="AC15" s="66" t="str">
        <x:f>IF(A15="","",IF(OR(B15="",D15="",E15="",F15="",G15="",H15="",J15="",K15="",L15="",M15="",O15="",P15="",AND(I15="",AG15=""),AND(B15&lt;&gt;"repair",B15&lt;&gt;"bridge",C15="")),"INCOMPLETE","CHECK ONLINE"))</x:f>
      </x:c>
      <x:c r="AD15" s="67" t="str">
        <x:f>IF(A15="","",IF(AC15="INCOMPLETE","Fill required fields including RepairSkill and an answer. See Instructions.","Copy all columns with headers to the browser validator for full schema, assets and mode checks."))</x:f>
      </x:c>
      <x:c r="AE15" s="67" t="str">
        <x:f t="shared" si="3">IF(A15="","","https://masteryquests.org/tools/question-bank-validator/")</x:f>
      </x:c>
      <x:c r="AF15" s="60"/>
      <x:c r="AH15" s="60"/>
      <x:c r="AI15" s="60"/>
    </x:row>
    <x:row r="16" ht="45" customHeight="1">
      <x:c r="A16" s="15"/>
      <x:c r="B16" s="15"/>
      <x:c r="C16" s="15"/>
      <x:c r="D16" s="12"/>
      <x:c r="E16" s="12"/>
      <x:c r="F16" s="12"/>
      <x:c r="G16" s="12"/>
      <x:c r="H16" s="12"/>
      <x:c r="I16" s="15"/>
      <x:c r="J16" s="12"/>
      <x:c r="K16" s="12"/>
      <x:c r="L16" s="12"/>
      <x:c r="M16" s="12"/>
      <x:c r="N16" s="12"/>
      <x:c r="O16" s="13"/>
      <x:c r="P16" s="13"/>
      <x:c r="Q16" s="13"/>
      <x:c r="R16" s="13"/>
      <x:c r="S16" s="13"/>
      <x:c r="T16" s="13"/>
      <x:c r="U16" s="14"/>
      <x:c r="V16" s="14"/>
      <x:c r="W16" s="16"/>
      <x:c r="X16" s="16"/>
      <x:c r="Y16" s="14"/>
      <x:c r="Z16" s="66" t="str">
        <x:f t="shared" si="0">IF(A16="","",IF(MAX(LEN(E16),LEN(F16),LEN(G16),LEN(H16))&gt;2*MIN(LEN(E16),LEN(F16),LEN(G16),LEN(H16)),"Review answer lengths",""))</x:f>
      </x:c>
      <x:c r="AA16" s="66" t="str">
        <x:f t="shared" si="1">IF(A16="","",IF(COUNTIF($A$2:$A$301,A16)&gt;1,"Duplicate ID",IF(COUNTIF($D$2:$D$301,D16)&gt;1,"Review repeated text","")))</x:f>
      </x:c>
      <x:c r="AB16" s="66" t="str">
        <x:f t="shared" si="2">IF(A16="","","Unique string or number; no numeric range required")</x:f>
      </x:c>
      <x:c r="AC16" s="66" t="str">
        <x:f>IF(A16="","",IF(OR(B16="",D16="",E16="",F16="",G16="",H16="",J16="",K16="",L16="",M16="",O16="",P16="",AND(I16="",AG16=""),AND(B16&lt;&gt;"repair",B16&lt;&gt;"bridge",C16="")),"INCOMPLETE","CHECK ONLINE"))</x:f>
      </x:c>
      <x:c r="AD16" s="67" t="str">
        <x:f>IF(A16="","",IF(AC16="INCOMPLETE","Fill required fields including RepairSkill and an answer. See Instructions.","Copy all columns with headers to the browser validator for full schema, assets and mode checks."))</x:f>
      </x:c>
      <x:c r="AE16" s="67" t="str">
        <x:f t="shared" si="3">IF(A16="","","https://masteryquests.org/tools/question-bank-validator/")</x:f>
      </x:c>
      <x:c r="AF16" s="60"/>
      <x:c r="AH16" s="60"/>
      <x:c r="AI16" s="60"/>
    </x:row>
    <x:row r="17" ht="45" customHeight="1">
      <x:c r="A17" s="15"/>
      <x:c r="B17" s="15"/>
      <x:c r="C17" s="15"/>
      <x:c r="D17" s="12"/>
      <x:c r="E17" s="12"/>
      <x:c r="F17" s="12"/>
      <x:c r="G17" s="12"/>
      <x:c r="H17" s="12"/>
      <x:c r="I17" s="15"/>
      <x:c r="J17" s="12"/>
      <x:c r="K17" s="12"/>
      <x:c r="L17" s="12"/>
      <x:c r="M17" s="12"/>
      <x:c r="N17" s="12"/>
      <x:c r="O17" s="13"/>
      <x:c r="P17" s="13"/>
      <x:c r="Q17" s="13"/>
      <x:c r="R17" s="13"/>
      <x:c r="S17" s="13"/>
      <x:c r="T17" s="13"/>
      <x:c r="U17" s="14"/>
      <x:c r="V17" s="14"/>
      <x:c r="W17" s="16"/>
      <x:c r="X17" s="16"/>
      <x:c r="Y17" s="14"/>
      <x:c r="Z17" s="66" t="str">
        <x:f t="shared" si="0">IF(A17="","",IF(MAX(LEN(E17),LEN(F17),LEN(G17),LEN(H17))&gt;2*MIN(LEN(E17),LEN(F17),LEN(G17),LEN(H17)),"Review answer lengths",""))</x:f>
      </x:c>
      <x:c r="AA17" s="66" t="str">
        <x:f t="shared" si="1">IF(A17="","",IF(COUNTIF($A$2:$A$301,A17)&gt;1,"Duplicate ID",IF(COUNTIF($D$2:$D$301,D17)&gt;1,"Review repeated text","")))</x:f>
      </x:c>
      <x:c r="AB17" s="66" t="str">
        <x:f t="shared" si="2">IF(A17="","","Unique string or number; no numeric range required")</x:f>
      </x:c>
      <x:c r="AC17" s="66" t="str">
        <x:f>IF(A17="","",IF(OR(B17="",D17="",E17="",F17="",G17="",H17="",J17="",K17="",L17="",M17="",O17="",P17="",AND(I17="",AG17=""),AND(B17&lt;&gt;"repair",B17&lt;&gt;"bridge",C17="")),"INCOMPLETE","CHECK ONLINE"))</x:f>
      </x:c>
      <x:c r="AD17" s="67" t="str">
        <x:f>IF(A17="","",IF(AC17="INCOMPLETE","Fill required fields including RepairSkill and an answer. See Instructions.","Copy all columns with headers to the browser validator for full schema, assets and mode checks."))</x:f>
      </x:c>
      <x:c r="AE17" s="67" t="str">
        <x:f t="shared" si="3">IF(A17="","","https://masteryquests.org/tools/question-bank-validator/")</x:f>
      </x:c>
      <x:c r="AF17" s="60"/>
      <x:c r="AH17" s="60"/>
      <x:c r="AI17" s="60"/>
    </x:row>
    <x:row r="18" ht="45" customHeight="1">
      <x:c r="A18" s="15"/>
      <x:c r="B18" s="15"/>
      <x:c r="C18" s="15"/>
      <x:c r="D18" s="12"/>
      <x:c r="E18" s="12"/>
      <x:c r="F18" s="12"/>
      <x:c r="G18" s="12"/>
      <x:c r="H18" s="12"/>
      <x:c r="I18" s="15"/>
      <x:c r="J18" s="12"/>
      <x:c r="K18" s="12"/>
      <x:c r="L18" s="12"/>
      <x:c r="M18" s="12"/>
      <x:c r="N18" s="12"/>
      <x:c r="O18" s="13"/>
      <x:c r="P18" s="13"/>
      <x:c r="Q18" s="13"/>
      <x:c r="R18" s="13"/>
      <x:c r="S18" s="13"/>
      <x:c r="T18" s="13"/>
      <x:c r="U18" s="14"/>
      <x:c r="V18" s="14"/>
      <x:c r="W18" s="16"/>
      <x:c r="X18" s="16"/>
      <x:c r="Y18" s="14"/>
      <x:c r="Z18" s="66" t="str">
        <x:f t="shared" si="0">IF(A18="","",IF(MAX(LEN(E18),LEN(F18),LEN(G18),LEN(H18))&gt;2*MIN(LEN(E18),LEN(F18),LEN(G18),LEN(H18)),"Review answer lengths",""))</x:f>
      </x:c>
      <x:c r="AA18" s="66" t="str">
        <x:f t="shared" si="1">IF(A18="","",IF(COUNTIF($A$2:$A$301,A18)&gt;1,"Duplicate ID",IF(COUNTIF($D$2:$D$301,D18)&gt;1,"Review repeated text","")))</x:f>
      </x:c>
      <x:c r="AB18" s="66" t="str">
        <x:f t="shared" si="2">IF(A18="","","Unique string or number; no numeric range required")</x:f>
      </x:c>
      <x:c r="AC18" s="66" t="str">
        <x:f>IF(A18="","",IF(OR(B18="",D18="",E18="",F18="",G18="",H18="",J18="",K18="",L18="",M18="",O18="",P18="",AND(I18="",AG18=""),AND(B18&lt;&gt;"repair",B18&lt;&gt;"bridge",C18="")),"INCOMPLETE","CHECK ONLINE"))</x:f>
      </x:c>
      <x:c r="AD18" s="67" t="str">
        <x:f>IF(A18="","",IF(AC18="INCOMPLETE","Fill required fields including RepairSkill and an answer. See Instructions.","Copy all columns with headers to the browser validator for full schema, assets and mode checks."))</x:f>
      </x:c>
      <x:c r="AE18" s="67" t="str">
        <x:f t="shared" si="3">IF(A18="","","https://masteryquests.org/tools/question-bank-validator/")</x:f>
      </x:c>
      <x:c r="AF18" s="60"/>
      <x:c r="AH18" s="60"/>
      <x:c r="AI18" s="60"/>
    </x:row>
    <x:row r="19" ht="45" customHeight="1">
      <x:c r="A19" s="15"/>
      <x:c r="B19" s="15"/>
      <x:c r="C19" s="15"/>
      <x:c r="D19" s="12"/>
      <x:c r="E19" s="12"/>
      <x:c r="F19" s="12"/>
      <x:c r="G19" s="12"/>
      <x:c r="H19" s="12"/>
      <x:c r="I19" s="15"/>
      <x:c r="J19" s="12"/>
      <x:c r="K19" s="12"/>
      <x:c r="L19" s="12"/>
      <x:c r="M19" s="12"/>
      <x:c r="N19" s="12"/>
      <x:c r="O19" s="13"/>
      <x:c r="P19" s="13"/>
      <x:c r="Q19" s="13"/>
      <x:c r="R19" s="13"/>
      <x:c r="S19" s="13"/>
      <x:c r="T19" s="13"/>
      <x:c r="U19" s="14"/>
      <x:c r="V19" s="14"/>
      <x:c r="W19" s="16"/>
      <x:c r="X19" s="16"/>
      <x:c r="Y19" s="14"/>
      <x:c r="Z19" s="66" t="str">
        <x:f t="shared" si="0">IF(A19="","",IF(MAX(LEN(E19),LEN(F19),LEN(G19),LEN(H19))&gt;2*MIN(LEN(E19),LEN(F19),LEN(G19),LEN(H19)),"Review answer lengths",""))</x:f>
      </x:c>
      <x:c r="AA19" s="66" t="str">
        <x:f t="shared" si="1">IF(A19="","",IF(COUNTIF($A$2:$A$301,A19)&gt;1,"Duplicate ID",IF(COUNTIF($D$2:$D$301,D19)&gt;1,"Review repeated text","")))</x:f>
      </x:c>
      <x:c r="AB19" s="66" t="str">
        <x:f t="shared" si="2">IF(A19="","","Unique string or number; no numeric range required")</x:f>
      </x:c>
      <x:c r="AC19" s="66" t="str">
        <x:f>IF(A19="","",IF(OR(B19="",D19="",E19="",F19="",G19="",H19="",J19="",K19="",L19="",M19="",O19="",P19="",AND(I19="",AG19=""),AND(B19&lt;&gt;"repair",B19&lt;&gt;"bridge",C19="")),"INCOMPLETE","CHECK ONLINE"))</x:f>
      </x:c>
      <x:c r="AD19" s="67" t="str">
        <x:f>IF(A19="","",IF(AC19="INCOMPLETE","Fill required fields including RepairSkill and an answer. See Instructions.","Copy all columns with headers to the browser validator for full schema, assets and mode checks."))</x:f>
      </x:c>
      <x:c r="AE19" s="67" t="str">
        <x:f t="shared" si="3">IF(A19="","","https://masteryquests.org/tools/question-bank-validator/")</x:f>
      </x:c>
      <x:c r="AF19" s="60"/>
      <x:c r="AH19" s="60"/>
      <x:c r="AI19" s="60"/>
    </x:row>
    <x:row r="20" ht="45" customHeight="1">
      <x:c r="A20" s="15"/>
      <x:c r="B20" s="15"/>
      <x:c r="C20" s="15"/>
      <x:c r="D20" s="12"/>
      <x:c r="E20" s="12"/>
      <x:c r="F20" s="12"/>
      <x:c r="G20" s="12"/>
      <x:c r="H20" s="12"/>
      <x:c r="I20" s="15"/>
      <x:c r="J20" s="12"/>
      <x:c r="K20" s="12"/>
      <x:c r="L20" s="12"/>
      <x:c r="M20" s="12"/>
      <x:c r="N20" s="12"/>
      <x:c r="O20" s="13"/>
      <x:c r="P20" s="13"/>
      <x:c r="Q20" s="13"/>
      <x:c r="R20" s="13"/>
      <x:c r="S20" s="13"/>
      <x:c r="T20" s="13"/>
      <x:c r="U20" s="14"/>
      <x:c r="V20" s="14"/>
      <x:c r="W20" s="16"/>
      <x:c r="X20" s="16"/>
      <x:c r="Y20" s="14"/>
      <x:c r="Z20" s="66" t="str">
        <x:f t="shared" si="0">IF(A20="","",IF(MAX(LEN(E20),LEN(F20),LEN(G20),LEN(H20))&gt;2*MIN(LEN(E20),LEN(F20),LEN(G20),LEN(H20)),"Review answer lengths",""))</x:f>
      </x:c>
      <x:c r="AA20" s="66" t="str">
        <x:f t="shared" si="1">IF(A20="","",IF(COUNTIF($A$2:$A$301,A20)&gt;1,"Duplicate ID",IF(COUNTIF($D$2:$D$301,D20)&gt;1,"Review repeated text","")))</x:f>
      </x:c>
      <x:c r="AB20" s="66" t="str">
        <x:f t="shared" si="2">IF(A20="","","Unique string or number; no numeric range required")</x:f>
      </x:c>
      <x:c r="AC20" s="66" t="str">
        <x:f>IF(A20="","",IF(OR(B20="",D20="",E20="",F20="",G20="",H20="",J20="",K20="",L20="",M20="",O20="",P20="",AND(I20="",AG20=""),AND(B20&lt;&gt;"repair",B20&lt;&gt;"bridge",C20="")),"INCOMPLETE","CHECK ONLINE"))</x:f>
      </x:c>
      <x:c r="AD20" s="67" t="str">
        <x:f>IF(A20="","",IF(AC20="INCOMPLETE","Fill required fields including RepairSkill and an answer. See Instructions.","Copy all columns with headers to the browser validator for full schema, assets and mode checks."))</x:f>
      </x:c>
      <x:c r="AE20" s="67" t="str">
        <x:f t="shared" si="3">IF(A20="","","https://masteryquests.org/tools/question-bank-validator/")</x:f>
      </x:c>
      <x:c r="AF20" s="60"/>
      <x:c r="AH20" s="60"/>
      <x:c r="AI20" s="60"/>
    </x:row>
    <x:row r="21" ht="45" customHeight="1">
      <x:c r="A21" s="15"/>
      <x:c r="B21" s="15"/>
      <x:c r="C21" s="15"/>
      <x:c r="D21" s="12"/>
      <x:c r="E21" s="12"/>
      <x:c r="F21" s="12"/>
      <x:c r="G21" s="12"/>
      <x:c r="H21" s="12"/>
      <x:c r="I21" s="15"/>
      <x:c r="J21" s="12"/>
      <x:c r="K21" s="12"/>
      <x:c r="L21" s="12"/>
      <x:c r="M21" s="12"/>
      <x:c r="N21" s="12"/>
      <x:c r="O21" s="13"/>
      <x:c r="P21" s="13"/>
      <x:c r="Q21" s="13"/>
      <x:c r="R21" s="13"/>
      <x:c r="S21" s="13"/>
      <x:c r="T21" s="13"/>
      <x:c r="U21" s="14"/>
      <x:c r="V21" s="14"/>
      <x:c r="W21" s="16"/>
      <x:c r="X21" s="16"/>
      <x:c r="Y21" s="14"/>
      <x:c r="Z21" s="66" t="str">
        <x:f t="shared" si="0">IF(A21="","",IF(MAX(LEN(E21),LEN(F21),LEN(G21),LEN(H21))&gt;2*MIN(LEN(E21),LEN(F21),LEN(G21),LEN(H21)),"Review answer lengths",""))</x:f>
      </x:c>
      <x:c r="AA21" s="66" t="str">
        <x:f t="shared" si="1">IF(A21="","",IF(COUNTIF($A$2:$A$301,A21)&gt;1,"Duplicate ID",IF(COUNTIF($D$2:$D$301,D21)&gt;1,"Review repeated text","")))</x:f>
      </x:c>
      <x:c r="AB21" s="66" t="str">
        <x:f t="shared" si="2">IF(A21="","","Unique string or number; no numeric range required")</x:f>
      </x:c>
      <x:c r="AC21" s="66" t="str">
        <x:f>IF(A21="","",IF(OR(B21="",D21="",E21="",F21="",G21="",H21="",J21="",K21="",L21="",M21="",O21="",P21="",AND(I21="",AG21=""),AND(B21&lt;&gt;"repair",B21&lt;&gt;"bridge",C21="")),"INCOMPLETE","CHECK ONLINE"))</x:f>
      </x:c>
      <x:c r="AD21" s="67" t="str">
        <x:f>IF(A21="","",IF(AC21="INCOMPLETE","Fill required fields including RepairSkill and an answer. See Instructions.","Copy all columns with headers to the browser validator for full schema, assets and mode checks."))</x:f>
      </x:c>
      <x:c r="AE21" s="67" t="str">
        <x:f t="shared" si="3">IF(A21="","","https://masteryquests.org/tools/question-bank-validator/")</x:f>
      </x:c>
      <x:c r="AF21" s="60"/>
      <x:c r="AH21" s="60"/>
      <x:c r="AI21" s="60"/>
    </x:row>
    <x:row r="22" ht="45" customHeight="1">
      <x:c r="A22" s="15"/>
      <x:c r="B22" s="15"/>
      <x:c r="C22" s="15"/>
      <x:c r="D22" s="12"/>
      <x:c r="E22" s="12"/>
      <x:c r="F22" s="12"/>
      <x:c r="G22" s="12"/>
      <x:c r="H22" s="12"/>
      <x:c r="I22" s="15"/>
      <x:c r="J22" s="12"/>
      <x:c r="K22" s="12"/>
      <x:c r="L22" s="12"/>
      <x:c r="M22" s="12"/>
      <x:c r="N22" s="12"/>
      <x:c r="O22" s="13"/>
      <x:c r="P22" s="13"/>
      <x:c r="Q22" s="13"/>
      <x:c r="R22" s="13"/>
      <x:c r="S22" s="13"/>
      <x:c r="T22" s="13"/>
      <x:c r="U22" s="14"/>
      <x:c r="V22" s="14"/>
      <x:c r="W22" s="16"/>
      <x:c r="X22" s="16"/>
      <x:c r="Y22" s="14"/>
      <x:c r="Z22" s="66" t="str">
        <x:f t="shared" si="0">IF(A22="","",IF(MAX(LEN(E22),LEN(F22),LEN(G22),LEN(H22))&gt;2*MIN(LEN(E22),LEN(F22),LEN(G22),LEN(H22)),"Review answer lengths",""))</x:f>
      </x:c>
      <x:c r="AA22" s="66" t="str">
        <x:f t="shared" si="1">IF(A22="","",IF(COUNTIF($A$2:$A$301,A22)&gt;1,"Duplicate ID",IF(COUNTIF($D$2:$D$301,D22)&gt;1,"Review repeated text","")))</x:f>
      </x:c>
      <x:c r="AB22" s="66" t="str">
        <x:f t="shared" si="2">IF(A22="","","Unique string or number; no numeric range required")</x:f>
      </x:c>
      <x:c r="AC22" s="66" t="str">
        <x:f>IF(A22="","",IF(OR(B22="",D22="",E22="",F22="",G22="",H22="",J22="",K22="",L22="",M22="",O22="",P22="",AND(I22="",AG22=""),AND(B22&lt;&gt;"repair",B22&lt;&gt;"bridge",C22="")),"INCOMPLETE","CHECK ONLINE"))</x:f>
      </x:c>
      <x:c r="AD22" s="67" t="str">
        <x:f>IF(A22="","",IF(AC22="INCOMPLETE","Fill required fields including RepairSkill and an answer. See Instructions.","Copy all columns with headers to the browser validator for full schema, assets and mode checks."))</x:f>
      </x:c>
      <x:c r="AE22" s="67" t="str">
        <x:f t="shared" si="3">IF(A22="","","https://masteryquests.org/tools/question-bank-validator/")</x:f>
      </x:c>
      <x:c r="AF22" s="60"/>
      <x:c r="AH22" s="60"/>
      <x:c r="AI22" s="60"/>
    </x:row>
    <x:row r="23" ht="45" customHeight="1">
      <x:c r="A23" s="15"/>
      <x:c r="B23" s="15"/>
      <x:c r="C23" s="15"/>
      <x:c r="D23" s="12"/>
      <x:c r="E23" s="12"/>
      <x:c r="F23" s="12"/>
      <x:c r="G23" s="12"/>
      <x:c r="H23" s="12"/>
      <x:c r="I23" s="15"/>
      <x:c r="J23" s="12"/>
      <x:c r="K23" s="12"/>
      <x:c r="L23" s="12"/>
      <x:c r="M23" s="12"/>
      <x:c r="N23" s="12"/>
      <x:c r="O23" s="13"/>
      <x:c r="P23" s="13"/>
      <x:c r="Q23" s="13"/>
      <x:c r="R23" s="13"/>
      <x:c r="S23" s="13"/>
      <x:c r="T23" s="13"/>
      <x:c r="U23" s="14"/>
      <x:c r="V23" s="14"/>
      <x:c r="W23" s="16"/>
      <x:c r="X23" s="16"/>
      <x:c r="Y23" s="14"/>
      <x:c r="Z23" s="66" t="str">
        <x:f t="shared" si="0">IF(A23="","",IF(MAX(LEN(E23),LEN(F23),LEN(G23),LEN(H23))&gt;2*MIN(LEN(E23),LEN(F23),LEN(G23),LEN(H23)),"Review answer lengths",""))</x:f>
      </x:c>
      <x:c r="AA23" s="66" t="str">
        <x:f t="shared" si="1">IF(A23="","",IF(COUNTIF($A$2:$A$301,A23)&gt;1,"Duplicate ID",IF(COUNTIF($D$2:$D$301,D23)&gt;1,"Review repeated text","")))</x:f>
      </x:c>
      <x:c r="AB23" s="66" t="str">
        <x:f t="shared" si="2">IF(A23="","","Unique string or number; no numeric range required")</x:f>
      </x:c>
      <x:c r="AC23" s="66" t="str">
        <x:f>IF(A23="","",IF(OR(B23="",D23="",E23="",F23="",G23="",H23="",J23="",K23="",L23="",M23="",O23="",P23="",AND(I23="",AG23=""),AND(B23&lt;&gt;"repair",B23&lt;&gt;"bridge",C23="")),"INCOMPLETE","CHECK ONLINE"))</x:f>
      </x:c>
      <x:c r="AD23" s="67" t="str">
        <x:f>IF(A23="","",IF(AC23="INCOMPLETE","Fill required fields including RepairSkill and an answer. See Instructions.","Copy all columns with headers to the browser validator for full schema, assets and mode checks."))</x:f>
      </x:c>
      <x:c r="AE23" s="67" t="str">
        <x:f t="shared" si="3">IF(A23="","","https://masteryquests.org/tools/question-bank-validator/")</x:f>
      </x:c>
      <x:c r="AF23" s="60"/>
      <x:c r="AH23" s="60"/>
      <x:c r="AI23" s="60"/>
    </x:row>
    <x:row r="24" ht="45" customHeight="1">
      <x:c r="A24" s="15"/>
      <x:c r="B24" s="15"/>
      <x:c r="C24" s="15"/>
      <x:c r="D24" s="12"/>
      <x:c r="E24" s="12"/>
      <x:c r="F24" s="12"/>
      <x:c r="G24" s="12"/>
      <x:c r="H24" s="12"/>
      <x:c r="I24" s="15"/>
      <x:c r="J24" s="12"/>
      <x:c r="K24" s="12"/>
      <x:c r="L24" s="12"/>
      <x:c r="M24" s="12"/>
      <x:c r="N24" s="12"/>
      <x:c r="O24" s="13"/>
      <x:c r="P24" s="13"/>
      <x:c r="Q24" s="13"/>
      <x:c r="R24" s="13"/>
      <x:c r="S24" s="13"/>
      <x:c r="T24" s="13"/>
      <x:c r="U24" s="14"/>
      <x:c r="V24" s="14"/>
      <x:c r="W24" s="16"/>
      <x:c r="X24" s="16"/>
      <x:c r="Y24" s="14"/>
      <x:c r="Z24" s="66" t="str">
        <x:f t="shared" si="0">IF(A24="","",IF(MAX(LEN(E24),LEN(F24),LEN(G24),LEN(H24))&gt;2*MIN(LEN(E24),LEN(F24),LEN(G24),LEN(H24)),"Review answer lengths",""))</x:f>
      </x:c>
      <x:c r="AA24" s="66" t="str">
        <x:f t="shared" si="1">IF(A24="","",IF(COUNTIF($A$2:$A$301,A24)&gt;1,"Duplicate ID",IF(COUNTIF($D$2:$D$301,D24)&gt;1,"Review repeated text","")))</x:f>
      </x:c>
      <x:c r="AB24" s="66" t="str">
        <x:f t="shared" si="2">IF(A24="","","Unique string or number; no numeric range required")</x:f>
      </x:c>
      <x:c r="AC24" s="66" t="str">
        <x:f>IF(A24="","",IF(OR(B24="",D24="",E24="",F24="",G24="",H24="",J24="",K24="",L24="",M24="",O24="",P24="",AND(I24="",AG24=""),AND(B24&lt;&gt;"repair",B24&lt;&gt;"bridge",C24="")),"INCOMPLETE","CHECK ONLINE"))</x:f>
      </x:c>
      <x:c r="AD24" s="67" t="str">
        <x:f>IF(A24="","",IF(AC24="INCOMPLETE","Fill required fields including RepairSkill and an answer. See Instructions.","Copy all columns with headers to the browser validator for full schema, assets and mode checks."))</x:f>
      </x:c>
      <x:c r="AE24" s="67" t="str">
        <x:f t="shared" si="3">IF(A24="","","https://masteryquests.org/tools/question-bank-validator/")</x:f>
      </x:c>
      <x:c r="AF24" s="60"/>
      <x:c r="AH24" s="60"/>
      <x:c r="AI24" s="60"/>
    </x:row>
    <x:row r="25" ht="45" customHeight="1">
      <x:c r="A25" s="15"/>
      <x:c r="B25" s="15"/>
      <x:c r="C25" s="15"/>
      <x:c r="D25" s="12"/>
      <x:c r="E25" s="12"/>
      <x:c r="F25" s="12"/>
      <x:c r="G25" s="12"/>
      <x:c r="H25" s="12"/>
      <x:c r="I25" s="15"/>
      <x:c r="J25" s="12"/>
      <x:c r="K25" s="12"/>
      <x:c r="L25" s="12"/>
      <x:c r="M25" s="12"/>
      <x:c r="N25" s="12"/>
      <x:c r="O25" s="13"/>
      <x:c r="P25" s="13"/>
      <x:c r="Q25" s="13"/>
      <x:c r="R25" s="13"/>
      <x:c r="S25" s="13"/>
      <x:c r="T25" s="13"/>
      <x:c r="U25" s="14"/>
      <x:c r="V25" s="14"/>
      <x:c r="W25" s="16"/>
      <x:c r="X25" s="16"/>
      <x:c r="Y25" s="14"/>
      <x:c r="Z25" s="66" t="str">
        <x:f t="shared" si="0">IF(A25="","",IF(MAX(LEN(E25),LEN(F25),LEN(G25),LEN(H25))&gt;2*MIN(LEN(E25),LEN(F25),LEN(G25),LEN(H25)),"Review answer lengths",""))</x:f>
      </x:c>
      <x:c r="AA25" s="66" t="str">
        <x:f t="shared" si="1">IF(A25="","",IF(COUNTIF($A$2:$A$301,A25)&gt;1,"Duplicate ID",IF(COUNTIF($D$2:$D$301,D25)&gt;1,"Review repeated text","")))</x:f>
      </x:c>
      <x:c r="AB25" s="66" t="str">
        <x:f t="shared" si="2">IF(A25="","","Unique string or number; no numeric range required")</x:f>
      </x:c>
      <x:c r="AC25" s="66" t="str">
        <x:f>IF(A25="","",IF(OR(B25="",D25="",E25="",F25="",G25="",H25="",J25="",K25="",L25="",M25="",O25="",P25="",AND(I25="",AG25=""),AND(B25&lt;&gt;"repair",B25&lt;&gt;"bridge",C25="")),"INCOMPLETE","CHECK ONLINE"))</x:f>
      </x:c>
      <x:c r="AD25" s="67" t="str">
        <x:f>IF(A25="","",IF(AC25="INCOMPLETE","Fill required fields including RepairSkill and an answer. See Instructions.","Copy all columns with headers to the browser validator for full schema, assets and mode checks."))</x:f>
      </x:c>
      <x:c r="AE25" s="67" t="str">
        <x:f t="shared" si="3">IF(A25="","","https://masteryquests.org/tools/question-bank-validator/")</x:f>
      </x:c>
      <x:c r="AF25" s="60"/>
      <x:c r="AH25" s="60"/>
      <x:c r="AI25" s="60"/>
    </x:row>
    <x:row r="26" ht="45" customHeight="1">
      <x:c r="A26" s="15"/>
      <x:c r="B26" s="15"/>
      <x:c r="C26" s="15"/>
      <x:c r="D26" s="12"/>
      <x:c r="E26" s="12"/>
      <x:c r="F26" s="12"/>
      <x:c r="G26" s="12"/>
      <x:c r="H26" s="12"/>
      <x:c r="I26" s="15"/>
      <x:c r="J26" s="12"/>
      <x:c r="K26" s="12"/>
      <x:c r="L26" s="12"/>
      <x:c r="M26" s="12"/>
      <x:c r="N26" s="12"/>
      <x:c r="O26" s="13"/>
      <x:c r="P26" s="13"/>
      <x:c r="Q26" s="13"/>
      <x:c r="R26" s="13"/>
      <x:c r="S26" s="13"/>
      <x:c r="T26" s="13"/>
      <x:c r="U26" s="14"/>
      <x:c r="V26" s="14"/>
      <x:c r="W26" s="16"/>
      <x:c r="X26" s="16"/>
      <x:c r="Y26" s="14"/>
      <x:c r="Z26" s="66" t="str">
        <x:f t="shared" si="0">IF(A26="","",IF(MAX(LEN(E26),LEN(F26),LEN(G26),LEN(H26))&gt;2*MIN(LEN(E26),LEN(F26),LEN(G26),LEN(H26)),"Review answer lengths",""))</x:f>
      </x:c>
      <x:c r="AA26" s="66" t="str">
        <x:f t="shared" si="1">IF(A26="","",IF(COUNTIF($A$2:$A$301,A26)&gt;1,"Duplicate ID",IF(COUNTIF($D$2:$D$301,D26)&gt;1,"Review repeated text","")))</x:f>
      </x:c>
      <x:c r="AB26" s="66" t="str">
        <x:f t="shared" si="2">IF(A26="","","Unique string or number; no numeric range required")</x:f>
      </x:c>
      <x:c r="AC26" s="66" t="str">
        <x:f>IF(A26="","",IF(OR(B26="",D26="",E26="",F26="",G26="",H26="",J26="",K26="",L26="",M26="",O26="",P26="",AND(I26="",AG26=""),AND(B26&lt;&gt;"repair",B26&lt;&gt;"bridge",C26="")),"INCOMPLETE","CHECK ONLINE"))</x:f>
      </x:c>
      <x:c r="AD26" s="67" t="str">
        <x:f>IF(A26="","",IF(AC26="INCOMPLETE","Fill required fields including RepairSkill and an answer. See Instructions.","Copy all columns with headers to the browser validator for full schema, assets and mode checks."))</x:f>
      </x:c>
      <x:c r="AE26" s="67" t="str">
        <x:f t="shared" si="3">IF(A26="","","https://masteryquests.org/tools/question-bank-validator/")</x:f>
      </x:c>
      <x:c r="AF26" s="60"/>
      <x:c r="AH26" s="60"/>
      <x:c r="AI26" s="60"/>
    </x:row>
    <x:row r="27" ht="45" customHeight="1">
      <x:c r="A27" s="15"/>
      <x:c r="B27" s="15"/>
      <x:c r="C27" s="15"/>
      <x:c r="D27" s="12"/>
      <x:c r="E27" s="12"/>
      <x:c r="F27" s="12"/>
      <x:c r="G27" s="12"/>
      <x:c r="H27" s="12"/>
      <x:c r="I27" s="15"/>
      <x:c r="J27" s="12"/>
      <x:c r="K27" s="12"/>
      <x:c r="L27" s="12"/>
      <x:c r="M27" s="12"/>
      <x:c r="N27" s="12"/>
      <x:c r="O27" s="13"/>
      <x:c r="P27" s="13"/>
      <x:c r="Q27" s="13"/>
      <x:c r="R27" s="13"/>
      <x:c r="S27" s="13"/>
      <x:c r="T27" s="13"/>
      <x:c r="U27" s="14"/>
      <x:c r="V27" s="14"/>
      <x:c r="W27" s="16"/>
      <x:c r="X27" s="16"/>
      <x:c r="Y27" s="14"/>
      <x:c r="Z27" s="66" t="str">
        <x:f t="shared" si="0">IF(A27="","",IF(MAX(LEN(E27),LEN(F27),LEN(G27),LEN(H27))&gt;2*MIN(LEN(E27),LEN(F27),LEN(G27),LEN(H27)),"Review answer lengths",""))</x:f>
      </x:c>
      <x:c r="AA27" s="66" t="str">
        <x:f t="shared" si="1">IF(A27="","",IF(COUNTIF($A$2:$A$301,A27)&gt;1,"Duplicate ID",IF(COUNTIF($D$2:$D$301,D27)&gt;1,"Review repeated text","")))</x:f>
      </x:c>
      <x:c r="AB27" s="66" t="str">
        <x:f t="shared" si="2">IF(A27="","","Unique string or number; no numeric range required")</x:f>
      </x:c>
      <x:c r="AC27" s="66" t="str">
        <x:f>IF(A27="","",IF(OR(B27="",D27="",E27="",F27="",G27="",H27="",J27="",K27="",L27="",M27="",O27="",P27="",AND(I27="",AG27=""),AND(B27&lt;&gt;"repair",B27&lt;&gt;"bridge",C27="")),"INCOMPLETE","CHECK ONLINE"))</x:f>
      </x:c>
      <x:c r="AD27" s="67" t="str">
        <x:f>IF(A27="","",IF(AC27="INCOMPLETE","Fill required fields including RepairSkill and an answer. See Instructions.","Copy all columns with headers to the browser validator for full schema, assets and mode checks."))</x:f>
      </x:c>
      <x:c r="AE27" s="67" t="str">
        <x:f t="shared" si="3">IF(A27="","","https://masteryquests.org/tools/question-bank-validator/")</x:f>
      </x:c>
      <x:c r="AF27" s="60"/>
      <x:c r="AH27" s="60"/>
      <x:c r="AI27" s="60"/>
    </x:row>
    <x:row r="28" ht="45" customHeight="1">
      <x:c r="A28" s="15"/>
      <x:c r="B28" s="15"/>
      <x:c r="C28" s="15"/>
      <x:c r="D28" s="12"/>
      <x:c r="E28" s="12"/>
      <x:c r="F28" s="12"/>
      <x:c r="G28" s="12"/>
      <x:c r="H28" s="12"/>
      <x:c r="I28" s="15"/>
      <x:c r="J28" s="12"/>
      <x:c r="K28" s="12"/>
      <x:c r="L28" s="12"/>
      <x:c r="M28" s="12"/>
      <x:c r="N28" s="12"/>
      <x:c r="O28" s="13"/>
      <x:c r="P28" s="13"/>
      <x:c r="Q28" s="13"/>
      <x:c r="R28" s="13"/>
      <x:c r="S28" s="13"/>
      <x:c r="T28" s="13"/>
      <x:c r="U28" s="14"/>
      <x:c r="V28" s="14"/>
      <x:c r="W28" s="16"/>
      <x:c r="X28" s="16"/>
      <x:c r="Y28" s="14"/>
      <x:c r="Z28" s="66" t="str">
        <x:f t="shared" si="0">IF(A28="","",IF(MAX(LEN(E28),LEN(F28),LEN(G28),LEN(H28))&gt;2*MIN(LEN(E28),LEN(F28),LEN(G28),LEN(H28)),"Review answer lengths",""))</x:f>
      </x:c>
      <x:c r="AA28" s="66" t="str">
        <x:f t="shared" si="1">IF(A28="","",IF(COUNTIF($A$2:$A$301,A28)&gt;1,"Duplicate ID",IF(COUNTIF($D$2:$D$301,D28)&gt;1,"Review repeated text","")))</x:f>
      </x:c>
      <x:c r="AB28" s="66" t="str">
        <x:f t="shared" si="2">IF(A28="","","Unique string or number; no numeric range required")</x:f>
      </x:c>
      <x:c r="AC28" s="66" t="str">
        <x:f>IF(A28="","",IF(OR(B28="",D28="",E28="",F28="",G28="",H28="",J28="",K28="",L28="",M28="",O28="",P28="",AND(I28="",AG28=""),AND(B28&lt;&gt;"repair",B28&lt;&gt;"bridge",C28="")),"INCOMPLETE","CHECK ONLINE"))</x:f>
      </x:c>
      <x:c r="AD28" s="67" t="str">
        <x:f>IF(A28="","",IF(AC28="INCOMPLETE","Fill required fields including RepairSkill and an answer. See Instructions.","Copy all columns with headers to the browser validator for full schema, assets and mode checks."))</x:f>
      </x:c>
      <x:c r="AE28" s="67" t="str">
        <x:f t="shared" si="3">IF(A28="","","https://masteryquests.org/tools/question-bank-validator/")</x:f>
      </x:c>
      <x:c r="AF28" s="60"/>
      <x:c r="AH28" s="60"/>
      <x:c r="AI28" s="60"/>
    </x:row>
    <x:row r="29" ht="45" customHeight="1">
      <x:c r="A29" s="15"/>
      <x:c r="B29" s="15"/>
      <x:c r="C29" s="15"/>
      <x:c r="D29" s="12"/>
      <x:c r="E29" s="12"/>
      <x:c r="F29" s="12"/>
      <x:c r="G29" s="12"/>
      <x:c r="H29" s="12"/>
      <x:c r="I29" s="15"/>
      <x:c r="J29" s="12"/>
      <x:c r="K29" s="12"/>
      <x:c r="L29" s="12"/>
      <x:c r="M29" s="12"/>
      <x:c r="N29" s="12"/>
      <x:c r="O29" s="13"/>
      <x:c r="P29" s="13"/>
      <x:c r="Q29" s="13"/>
      <x:c r="R29" s="13"/>
      <x:c r="S29" s="13"/>
      <x:c r="T29" s="13"/>
      <x:c r="U29" s="14"/>
      <x:c r="V29" s="14"/>
      <x:c r="W29" s="16"/>
      <x:c r="X29" s="16"/>
      <x:c r="Y29" s="14"/>
      <x:c r="Z29" s="66" t="str">
        <x:f t="shared" si="0">IF(A29="","",IF(MAX(LEN(E29),LEN(F29),LEN(G29),LEN(H29))&gt;2*MIN(LEN(E29),LEN(F29),LEN(G29),LEN(H29)),"Review answer lengths",""))</x:f>
      </x:c>
      <x:c r="AA29" s="66" t="str">
        <x:f t="shared" si="1">IF(A29="","",IF(COUNTIF($A$2:$A$301,A29)&gt;1,"Duplicate ID",IF(COUNTIF($D$2:$D$301,D29)&gt;1,"Review repeated text","")))</x:f>
      </x:c>
      <x:c r="AB29" s="66" t="str">
        <x:f t="shared" si="2">IF(A29="","","Unique string or number; no numeric range required")</x:f>
      </x:c>
      <x:c r="AC29" s="66" t="str">
        <x:f>IF(A29="","",IF(OR(B29="",D29="",E29="",F29="",G29="",H29="",J29="",K29="",L29="",M29="",O29="",P29="",AND(I29="",AG29=""),AND(B29&lt;&gt;"repair",B29&lt;&gt;"bridge",C29="")),"INCOMPLETE","CHECK ONLINE"))</x:f>
      </x:c>
      <x:c r="AD29" s="67" t="str">
        <x:f>IF(A29="","",IF(AC29="INCOMPLETE","Fill required fields including RepairSkill and an answer. See Instructions.","Copy all columns with headers to the browser validator for full schema, assets and mode checks."))</x:f>
      </x:c>
      <x:c r="AE29" s="67" t="str">
        <x:f t="shared" si="3">IF(A29="","","https://masteryquests.org/tools/question-bank-validator/")</x:f>
      </x:c>
      <x:c r="AF29" s="60"/>
      <x:c r="AH29" s="60"/>
      <x:c r="AI29" s="60"/>
    </x:row>
    <x:row r="30" ht="45" customHeight="1">
      <x:c r="A30" s="15"/>
      <x:c r="B30" s="15"/>
      <x:c r="C30" s="15"/>
      <x:c r="D30" s="12"/>
      <x:c r="E30" s="12"/>
      <x:c r="F30" s="12"/>
      <x:c r="G30" s="12"/>
      <x:c r="H30" s="12"/>
      <x:c r="I30" s="15"/>
      <x:c r="J30" s="12"/>
      <x:c r="K30" s="12"/>
      <x:c r="L30" s="12"/>
      <x:c r="M30" s="12"/>
      <x:c r="N30" s="12"/>
      <x:c r="O30" s="13"/>
      <x:c r="P30" s="13"/>
      <x:c r="Q30" s="13"/>
      <x:c r="R30" s="13"/>
      <x:c r="S30" s="13"/>
      <x:c r="T30" s="13"/>
      <x:c r="U30" s="14"/>
      <x:c r="V30" s="14"/>
      <x:c r="W30" s="16"/>
      <x:c r="X30" s="16"/>
      <x:c r="Y30" s="14"/>
      <x:c r="Z30" s="66" t="str">
        <x:f t="shared" si="0">IF(A30="","",IF(MAX(LEN(E30),LEN(F30),LEN(G30),LEN(H30))&gt;2*MIN(LEN(E30),LEN(F30),LEN(G30),LEN(H30)),"Review answer lengths",""))</x:f>
      </x:c>
      <x:c r="AA30" s="66" t="str">
        <x:f t="shared" si="1">IF(A30="","",IF(COUNTIF($A$2:$A$301,A30)&gt;1,"Duplicate ID",IF(COUNTIF($D$2:$D$301,D30)&gt;1,"Review repeated text","")))</x:f>
      </x:c>
      <x:c r="AB30" s="66" t="str">
        <x:f t="shared" si="2">IF(A30="","","Unique string or number; no numeric range required")</x:f>
      </x:c>
      <x:c r="AC30" s="66" t="str">
        <x:f>IF(A30="","",IF(OR(B30="",D30="",E30="",F30="",G30="",H30="",J30="",K30="",L30="",M30="",O30="",P30="",AND(I30="",AG30=""),AND(B30&lt;&gt;"repair",B30&lt;&gt;"bridge",C30="")),"INCOMPLETE","CHECK ONLINE"))</x:f>
      </x:c>
      <x:c r="AD30" s="67" t="str">
        <x:f>IF(A30="","",IF(AC30="INCOMPLETE","Fill required fields including RepairSkill and an answer. See Instructions.","Copy all columns with headers to the browser validator for full schema, assets and mode checks."))</x:f>
      </x:c>
      <x:c r="AE30" s="67" t="str">
        <x:f t="shared" si="3">IF(A30="","","https://masteryquests.org/tools/question-bank-validator/")</x:f>
      </x:c>
      <x:c r="AF30" s="60"/>
      <x:c r="AH30" s="60"/>
      <x:c r="AI30" s="60"/>
    </x:row>
    <x:row r="31" ht="45" customHeight="1">
      <x:c r="A31" s="15"/>
      <x:c r="B31" s="15"/>
      <x:c r="C31" s="15"/>
      <x:c r="D31" s="12"/>
      <x:c r="E31" s="12"/>
      <x:c r="F31" s="12"/>
      <x:c r="G31" s="12"/>
      <x:c r="H31" s="12"/>
      <x:c r="I31" s="15"/>
      <x:c r="J31" s="12"/>
      <x:c r="K31" s="12"/>
      <x:c r="L31" s="12"/>
      <x:c r="M31" s="12"/>
      <x:c r="N31" s="12"/>
      <x:c r="O31" s="13"/>
      <x:c r="P31" s="13"/>
      <x:c r="Q31" s="13"/>
      <x:c r="R31" s="13"/>
      <x:c r="S31" s="13"/>
      <x:c r="T31" s="13"/>
      <x:c r="U31" s="14"/>
      <x:c r="V31" s="14"/>
      <x:c r="W31" s="16"/>
      <x:c r="X31" s="16"/>
      <x:c r="Y31" s="14"/>
      <x:c r="Z31" s="66" t="str">
        <x:f t="shared" si="0">IF(A31="","",IF(MAX(LEN(E31),LEN(F31),LEN(G31),LEN(H31))&gt;2*MIN(LEN(E31),LEN(F31),LEN(G31),LEN(H31)),"Review answer lengths",""))</x:f>
      </x:c>
      <x:c r="AA31" s="66" t="str">
        <x:f t="shared" si="1">IF(A31="","",IF(COUNTIF($A$2:$A$301,A31)&gt;1,"Duplicate ID",IF(COUNTIF($D$2:$D$301,D31)&gt;1,"Review repeated text","")))</x:f>
      </x:c>
      <x:c r="AB31" s="66" t="str">
        <x:f t="shared" si="2">IF(A31="","","Unique string or number; no numeric range required")</x:f>
      </x:c>
      <x:c r="AC31" s="66" t="str">
        <x:f>IF(A31="","",IF(OR(B31="",D31="",E31="",F31="",G31="",H31="",J31="",K31="",L31="",M31="",O31="",P31="",AND(I31="",AG31=""),AND(B31&lt;&gt;"repair",B31&lt;&gt;"bridge",C31="")),"INCOMPLETE","CHECK ONLINE"))</x:f>
      </x:c>
      <x:c r="AD31" s="67" t="str">
        <x:f>IF(A31="","",IF(AC31="INCOMPLETE","Fill required fields including RepairSkill and an answer. See Instructions.","Copy all columns with headers to the browser validator for full schema, assets and mode checks."))</x:f>
      </x:c>
      <x:c r="AE31" s="67" t="str">
        <x:f t="shared" si="3">IF(A31="","","https://masteryquests.org/tools/question-bank-validator/")</x:f>
      </x:c>
      <x:c r="AF31" s="60"/>
      <x:c r="AH31" s="60"/>
      <x:c r="AI31" s="60"/>
    </x:row>
    <x:row r="32" ht="45" customHeight="1">
      <x:c r="A32" s="15"/>
      <x:c r="B32" s="15"/>
      <x:c r="C32" s="15"/>
      <x:c r="D32" s="12"/>
      <x:c r="E32" s="12"/>
      <x:c r="F32" s="12"/>
      <x:c r="G32" s="12"/>
      <x:c r="H32" s="12"/>
      <x:c r="I32" s="15"/>
      <x:c r="J32" s="12"/>
      <x:c r="K32" s="12"/>
      <x:c r="L32" s="12"/>
      <x:c r="M32" s="12"/>
      <x:c r="N32" s="12"/>
      <x:c r="O32" s="13"/>
      <x:c r="P32" s="13"/>
      <x:c r="Q32" s="13"/>
      <x:c r="R32" s="13"/>
      <x:c r="S32" s="13"/>
      <x:c r="T32" s="13"/>
      <x:c r="U32" s="14"/>
      <x:c r="V32" s="14"/>
      <x:c r="W32" s="16"/>
      <x:c r="X32" s="16"/>
      <x:c r="Y32" s="14"/>
      <x:c r="Z32" s="66" t="str">
        <x:f t="shared" si="0">IF(A32="","",IF(MAX(LEN(E32),LEN(F32),LEN(G32),LEN(H32))&gt;2*MIN(LEN(E32),LEN(F32),LEN(G32),LEN(H32)),"Review answer lengths",""))</x:f>
      </x:c>
      <x:c r="AA32" s="66" t="str">
        <x:f t="shared" si="1">IF(A32="","",IF(COUNTIF($A$2:$A$301,A32)&gt;1,"Duplicate ID",IF(COUNTIF($D$2:$D$301,D32)&gt;1,"Review repeated text","")))</x:f>
      </x:c>
      <x:c r="AB32" s="66" t="str">
        <x:f t="shared" si="2">IF(A32="","","Unique string or number; no numeric range required")</x:f>
      </x:c>
      <x:c r="AC32" s="66" t="str">
        <x:f>IF(A32="","",IF(OR(B32="",D32="",E32="",F32="",G32="",H32="",J32="",K32="",L32="",M32="",O32="",P32="",AND(I32="",AG32=""),AND(B32&lt;&gt;"repair",B32&lt;&gt;"bridge",C32="")),"INCOMPLETE","CHECK ONLINE"))</x:f>
      </x:c>
      <x:c r="AD32" s="67" t="str">
        <x:f>IF(A32="","",IF(AC32="INCOMPLETE","Fill required fields including RepairSkill and an answer. See Instructions.","Copy all columns with headers to the browser validator for full schema, assets and mode checks."))</x:f>
      </x:c>
      <x:c r="AE32" s="67" t="str">
        <x:f t="shared" si="3">IF(A32="","","https://masteryquests.org/tools/question-bank-validator/")</x:f>
      </x:c>
      <x:c r="AF32" s="60"/>
      <x:c r="AH32" s="60"/>
      <x:c r="AI32" s="60"/>
    </x:row>
    <x:row r="33" ht="45" customHeight="1">
      <x:c r="A33" s="15"/>
      <x:c r="B33" s="15"/>
      <x:c r="C33" s="15"/>
      <x:c r="D33" s="12"/>
      <x:c r="E33" s="12"/>
      <x:c r="F33" s="12"/>
      <x:c r="G33" s="12"/>
      <x:c r="H33" s="12"/>
      <x:c r="I33" s="15"/>
      <x:c r="J33" s="12"/>
      <x:c r="K33" s="12"/>
      <x:c r="L33" s="12"/>
      <x:c r="M33" s="12"/>
      <x:c r="N33" s="12"/>
      <x:c r="O33" s="13"/>
      <x:c r="P33" s="13"/>
      <x:c r="Q33" s="13"/>
      <x:c r="R33" s="13"/>
      <x:c r="S33" s="13"/>
      <x:c r="T33" s="13"/>
      <x:c r="U33" s="14"/>
      <x:c r="V33" s="14"/>
      <x:c r="W33" s="16"/>
      <x:c r="X33" s="16"/>
      <x:c r="Y33" s="14"/>
      <x:c r="Z33" s="66" t="str">
        <x:f t="shared" si="0">IF(A33="","",IF(MAX(LEN(E33),LEN(F33),LEN(G33),LEN(H33))&gt;2*MIN(LEN(E33),LEN(F33),LEN(G33),LEN(H33)),"Review answer lengths",""))</x:f>
      </x:c>
      <x:c r="AA33" s="66" t="str">
        <x:f t="shared" si="1">IF(A33="","",IF(COUNTIF($A$2:$A$301,A33)&gt;1,"Duplicate ID",IF(COUNTIF($D$2:$D$301,D33)&gt;1,"Review repeated text","")))</x:f>
      </x:c>
      <x:c r="AB33" s="66" t="str">
        <x:f t="shared" si="2">IF(A33="","","Unique string or number; no numeric range required")</x:f>
      </x:c>
      <x:c r="AC33" s="66" t="str">
        <x:f>IF(A33="","",IF(OR(B33="",D33="",E33="",F33="",G33="",H33="",J33="",K33="",L33="",M33="",O33="",P33="",AND(I33="",AG33=""),AND(B33&lt;&gt;"repair",B33&lt;&gt;"bridge",C33="")),"INCOMPLETE","CHECK ONLINE"))</x:f>
      </x:c>
      <x:c r="AD33" s="67" t="str">
        <x:f>IF(A33="","",IF(AC33="INCOMPLETE","Fill required fields including RepairSkill and an answer. See Instructions.","Copy all columns with headers to the browser validator for full schema, assets and mode checks."))</x:f>
      </x:c>
      <x:c r="AE33" s="67" t="str">
        <x:f t="shared" si="3">IF(A33="","","https://masteryquests.org/tools/question-bank-validator/")</x:f>
      </x:c>
      <x:c r="AF33" s="60"/>
      <x:c r="AH33" s="60"/>
      <x:c r="AI33" s="60"/>
    </x:row>
    <x:row r="34" ht="45" customHeight="1">
      <x:c r="A34" s="15"/>
      <x:c r="B34" s="15"/>
      <x:c r="C34" s="15"/>
      <x:c r="D34" s="12"/>
      <x:c r="E34" s="12"/>
      <x:c r="F34" s="12"/>
      <x:c r="G34" s="12"/>
      <x:c r="H34" s="12"/>
      <x:c r="I34" s="15"/>
      <x:c r="J34" s="12"/>
      <x:c r="K34" s="12"/>
      <x:c r="L34" s="12"/>
      <x:c r="M34" s="12"/>
      <x:c r="N34" s="12"/>
      <x:c r="O34" s="13"/>
      <x:c r="P34" s="13"/>
      <x:c r="Q34" s="13"/>
      <x:c r="R34" s="13"/>
      <x:c r="S34" s="13"/>
      <x:c r="T34" s="13"/>
      <x:c r="U34" s="14"/>
      <x:c r="V34" s="14"/>
      <x:c r="W34" s="16"/>
      <x:c r="X34" s="16"/>
      <x:c r="Y34" s="14"/>
      <x:c r="Z34" s="66" t="str">
        <x:f t="shared" si="0">IF(A34="","",IF(MAX(LEN(E34),LEN(F34),LEN(G34),LEN(H34))&gt;2*MIN(LEN(E34),LEN(F34),LEN(G34),LEN(H34)),"Review answer lengths",""))</x:f>
      </x:c>
      <x:c r="AA34" s="66" t="str">
        <x:f t="shared" si="1">IF(A34="","",IF(COUNTIF($A$2:$A$301,A34)&gt;1,"Duplicate ID",IF(COUNTIF($D$2:$D$301,D34)&gt;1,"Review repeated text","")))</x:f>
      </x:c>
      <x:c r="AB34" s="66" t="str">
        <x:f t="shared" si="2">IF(A34="","","Unique string or number; no numeric range required")</x:f>
      </x:c>
      <x:c r="AC34" s="66" t="str">
        <x:f>IF(A34="","",IF(OR(B34="",D34="",E34="",F34="",G34="",H34="",J34="",K34="",L34="",M34="",O34="",P34="",AND(I34="",AG34=""),AND(B34&lt;&gt;"repair",B34&lt;&gt;"bridge",C34="")),"INCOMPLETE","CHECK ONLINE"))</x:f>
      </x:c>
      <x:c r="AD34" s="67" t="str">
        <x:f>IF(A34="","",IF(AC34="INCOMPLETE","Fill required fields including RepairSkill and an answer. See Instructions.","Copy all columns with headers to the browser validator for full schema, assets and mode checks."))</x:f>
      </x:c>
      <x:c r="AE34" s="67" t="str">
        <x:f t="shared" si="3">IF(A34="","","https://masteryquests.org/tools/question-bank-validator/")</x:f>
      </x:c>
      <x:c r="AF34" s="60"/>
      <x:c r="AH34" s="60"/>
      <x:c r="AI34" s="60"/>
    </x:row>
    <x:row r="35" ht="45" customHeight="1">
      <x:c r="A35" s="15"/>
      <x:c r="B35" s="15"/>
      <x:c r="C35" s="15"/>
      <x:c r="D35" s="12"/>
      <x:c r="E35" s="12"/>
      <x:c r="F35" s="12"/>
      <x:c r="G35" s="12"/>
      <x:c r="H35" s="12"/>
      <x:c r="I35" s="15"/>
      <x:c r="J35" s="12"/>
      <x:c r="K35" s="12"/>
      <x:c r="L35" s="12"/>
      <x:c r="M35" s="12"/>
      <x:c r="N35" s="12"/>
      <x:c r="O35" s="13"/>
      <x:c r="P35" s="13"/>
      <x:c r="Q35" s="13"/>
      <x:c r="R35" s="13"/>
      <x:c r="S35" s="13"/>
      <x:c r="T35" s="13"/>
      <x:c r="U35" s="14"/>
      <x:c r="V35" s="14"/>
      <x:c r="W35" s="16"/>
      <x:c r="X35" s="16"/>
      <x:c r="Y35" s="14"/>
      <x:c r="Z35" s="66" t="str">
        <x:f t="shared" si="0">IF(A35="","",IF(MAX(LEN(E35),LEN(F35),LEN(G35),LEN(H35))&gt;2*MIN(LEN(E35),LEN(F35),LEN(G35),LEN(H35)),"Review answer lengths",""))</x:f>
      </x:c>
      <x:c r="AA35" s="66" t="str">
        <x:f t="shared" si="1">IF(A35="","",IF(COUNTIF($A$2:$A$301,A35)&gt;1,"Duplicate ID",IF(COUNTIF($D$2:$D$301,D35)&gt;1,"Review repeated text","")))</x:f>
      </x:c>
      <x:c r="AB35" s="66" t="str">
        <x:f t="shared" si="2">IF(A35="","","Unique string or number; no numeric range required")</x:f>
      </x:c>
      <x:c r="AC35" s="66" t="str">
        <x:f>IF(A35="","",IF(OR(B35="",D35="",E35="",F35="",G35="",H35="",J35="",K35="",L35="",M35="",O35="",P35="",AND(I35="",AG35=""),AND(B35&lt;&gt;"repair",B35&lt;&gt;"bridge",C35="")),"INCOMPLETE","CHECK ONLINE"))</x:f>
      </x:c>
      <x:c r="AD35" s="67" t="str">
        <x:f>IF(A35="","",IF(AC35="INCOMPLETE","Fill required fields including RepairSkill and an answer. See Instructions.","Copy all columns with headers to the browser validator for full schema, assets and mode checks."))</x:f>
      </x:c>
      <x:c r="AE35" s="67" t="str">
        <x:f t="shared" si="3">IF(A35="","","https://masteryquests.org/tools/question-bank-validator/")</x:f>
      </x:c>
      <x:c r="AF35" s="60"/>
      <x:c r="AH35" s="60"/>
      <x:c r="AI35" s="60"/>
    </x:row>
    <x:row r="36" ht="45" customHeight="1">
      <x:c r="A36" s="15"/>
      <x:c r="B36" s="15"/>
      <x:c r="C36" s="15"/>
      <x:c r="D36" s="12"/>
      <x:c r="E36" s="12"/>
      <x:c r="F36" s="12"/>
      <x:c r="G36" s="12"/>
      <x:c r="H36" s="12"/>
      <x:c r="I36" s="15"/>
      <x:c r="J36" s="12"/>
      <x:c r="K36" s="12"/>
      <x:c r="L36" s="12"/>
      <x:c r="M36" s="12"/>
      <x:c r="N36" s="12"/>
      <x:c r="O36" s="13"/>
      <x:c r="P36" s="13"/>
      <x:c r="Q36" s="13"/>
      <x:c r="R36" s="13"/>
      <x:c r="S36" s="13"/>
      <x:c r="T36" s="13"/>
      <x:c r="U36" s="14"/>
      <x:c r="V36" s="14"/>
      <x:c r="W36" s="16"/>
      <x:c r="X36" s="16"/>
      <x:c r="Y36" s="14"/>
      <x:c r="Z36" s="66" t="str">
        <x:f t="shared" si="0">IF(A36="","",IF(MAX(LEN(E36),LEN(F36),LEN(G36),LEN(H36))&gt;2*MIN(LEN(E36),LEN(F36),LEN(G36),LEN(H36)),"Review answer lengths",""))</x:f>
      </x:c>
      <x:c r="AA36" s="66" t="str">
        <x:f t="shared" si="1">IF(A36="","",IF(COUNTIF($A$2:$A$301,A36)&gt;1,"Duplicate ID",IF(COUNTIF($D$2:$D$301,D36)&gt;1,"Review repeated text","")))</x:f>
      </x:c>
      <x:c r="AB36" s="66" t="str">
        <x:f t="shared" si="2">IF(A36="","","Unique string or number; no numeric range required")</x:f>
      </x:c>
      <x:c r="AC36" s="66" t="str">
        <x:f>IF(A36="","",IF(OR(B36="",D36="",E36="",F36="",G36="",H36="",J36="",K36="",L36="",M36="",O36="",P36="",AND(I36="",AG36=""),AND(B36&lt;&gt;"repair",B36&lt;&gt;"bridge",C36="")),"INCOMPLETE","CHECK ONLINE"))</x:f>
      </x:c>
      <x:c r="AD36" s="67" t="str">
        <x:f>IF(A36="","",IF(AC36="INCOMPLETE","Fill required fields including RepairSkill and an answer. See Instructions.","Copy all columns with headers to the browser validator for full schema, assets and mode checks."))</x:f>
      </x:c>
      <x:c r="AE36" s="67" t="str">
        <x:f t="shared" si="3">IF(A36="","","https://masteryquests.org/tools/question-bank-validator/")</x:f>
      </x:c>
      <x:c r="AF36" s="60"/>
      <x:c r="AH36" s="60"/>
      <x:c r="AI36" s="60"/>
    </x:row>
    <x:row r="37" ht="45" customHeight="1">
      <x:c r="A37" s="15"/>
      <x:c r="B37" s="15"/>
      <x:c r="C37" s="15"/>
      <x:c r="D37" s="12"/>
      <x:c r="E37" s="12"/>
      <x:c r="F37" s="12"/>
      <x:c r="G37" s="12"/>
      <x:c r="H37" s="12"/>
      <x:c r="I37" s="15"/>
      <x:c r="J37" s="12"/>
      <x:c r="K37" s="12"/>
      <x:c r="L37" s="12"/>
      <x:c r="M37" s="12"/>
      <x:c r="N37" s="12"/>
      <x:c r="O37" s="13"/>
      <x:c r="P37" s="13"/>
      <x:c r="Q37" s="13"/>
      <x:c r="R37" s="13"/>
      <x:c r="S37" s="13"/>
      <x:c r="T37" s="13"/>
      <x:c r="U37" s="14"/>
      <x:c r="V37" s="14"/>
      <x:c r="W37" s="16"/>
      <x:c r="X37" s="16"/>
      <x:c r="Y37" s="14"/>
      <x:c r="Z37" s="66" t="str">
        <x:f t="shared" si="0">IF(A37="","",IF(MAX(LEN(E37),LEN(F37),LEN(G37),LEN(H37))&gt;2*MIN(LEN(E37),LEN(F37),LEN(G37),LEN(H37)),"Review answer lengths",""))</x:f>
      </x:c>
      <x:c r="AA37" s="66" t="str">
        <x:f t="shared" si="1">IF(A37="","",IF(COUNTIF($A$2:$A$301,A37)&gt;1,"Duplicate ID",IF(COUNTIF($D$2:$D$301,D37)&gt;1,"Review repeated text","")))</x:f>
      </x:c>
      <x:c r="AB37" s="66" t="str">
        <x:f t="shared" si="2">IF(A37="","","Unique string or number; no numeric range required")</x:f>
      </x:c>
      <x:c r="AC37" s="66" t="str">
        <x:f>IF(A37="","",IF(OR(B37="",D37="",E37="",F37="",G37="",H37="",J37="",K37="",L37="",M37="",O37="",P37="",AND(I37="",AG37=""),AND(B37&lt;&gt;"repair",B37&lt;&gt;"bridge",C37="")),"INCOMPLETE","CHECK ONLINE"))</x:f>
      </x:c>
      <x:c r="AD37" s="67" t="str">
        <x:f>IF(A37="","",IF(AC37="INCOMPLETE","Fill required fields including RepairSkill and an answer. See Instructions.","Copy all columns with headers to the browser validator for full schema, assets and mode checks."))</x:f>
      </x:c>
      <x:c r="AE37" s="67" t="str">
        <x:f t="shared" si="3">IF(A37="","","https://masteryquests.org/tools/question-bank-validator/")</x:f>
      </x:c>
      <x:c r="AF37" s="60"/>
      <x:c r="AH37" s="60"/>
      <x:c r="AI37" s="60"/>
    </x:row>
    <x:row r="38" ht="45" customHeight="1">
      <x:c r="A38" s="15"/>
      <x:c r="B38" s="15"/>
      <x:c r="C38" s="15"/>
      <x:c r="D38" s="12"/>
      <x:c r="E38" s="12"/>
      <x:c r="F38" s="12"/>
      <x:c r="G38" s="12"/>
      <x:c r="H38" s="12"/>
      <x:c r="I38" s="15"/>
      <x:c r="J38" s="12"/>
      <x:c r="K38" s="12"/>
      <x:c r="L38" s="12"/>
      <x:c r="M38" s="12"/>
      <x:c r="N38" s="12"/>
      <x:c r="O38" s="13"/>
      <x:c r="P38" s="13"/>
      <x:c r="Q38" s="13"/>
      <x:c r="R38" s="13"/>
      <x:c r="S38" s="13"/>
      <x:c r="T38" s="13"/>
      <x:c r="U38" s="14"/>
      <x:c r="V38" s="14"/>
      <x:c r="W38" s="16"/>
      <x:c r="X38" s="16"/>
      <x:c r="Y38" s="14"/>
      <x:c r="Z38" s="66" t="str">
        <x:f t="shared" si="0">IF(A38="","",IF(MAX(LEN(E38),LEN(F38),LEN(G38),LEN(H38))&gt;2*MIN(LEN(E38),LEN(F38),LEN(G38),LEN(H38)),"Review answer lengths",""))</x:f>
      </x:c>
      <x:c r="AA38" s="66" t="str">
        <x:f t="shared" si="1">IF(A38="","",IF(COUNTIF($A$2:$A$301,A38)&gt;1,"Duplicate ID",IF(COUNTIF($D$2:$D$301,D38)&gt;1,"Review repeated text","")))</x:f>
      </x:c>
      <x:c r="AB38" s="66" t="str">
        <x:f t="shared" si="2">IF(A38="","","Unique string or number; no numeric range required")</x:f>
      </x:c>
      <x:c r="AC38" s="66" t="str">
        <x:f>IF(A38="","",IF(OR(B38="",D38="",E38="",F38="",G38="",H38="",J38="",K38="",L38="",M38="",O38="",P38="",AND(I38="",AG38=""),AND(B38&lt;&gt;"repair",B38&lt;&gt;"bridge",C38="")),"INCOMPLETE","CHECK ONLINE"))</x:f>
      </x:c>
      <x:c r="AD38" s="67" t="str">
        <x:f>IF(A38="","",IF(AC38="INCOMPLETE","Fill required fields including RepairSkill and an answer. See Instructions.","Copy all columns with headers to the browser validator for full schema, assets and mode checks."))</x:f>
      </x:c>
      <x:c r="AE38" s="67" t="str">
        <x:f t="shared" si="3">IF(A38="","","https://masteryquests.org/tools/question-bank-validator/")</x:f>
      </x:c>
      <x:c r="AF38" s="60"/>
      <x:c r="AH38" s="60"/>
      <x:c r="AI38" s="60"/>
    </x:row>
    <x:row r="39" ht="45" customHeight="1">
      <x:c r="A39" s="15"/>
      <x:c r="B39" s="15"/>
      <x:c r="C39" s="15"/>
      <x:c r="D39" s="12"/>
      <x:c r="E39" s="12"/>
      <x:c r="F39" s="12"/>
      <x:c r="G39" s="12"/>
      <x:c r="H39" s="12"/>
      <x:c r="I39" s="15"/>
      <x:c r="J39" s="12"/>
      <x:c r="K39" s="12"/>
      <x:c r="L39" s="12"/>
      <x:c r="M39" s="12"/>
      <x:c r="N39" s="12"/>
      <x:c r="O39" s="13"/>
      <x:c r="P39" s="13"/>
      <x:c r="Q39" s="13"/>
      <x:c r="R39" s="13"/>
      <x:c r="S39" s="13"/>
      <x:c r="T39" s="13"/>
      <x:c r="U39" s="14"/>
      <x:c r="V39" s="14"/>
      <x:c r="W39" s="16"/>
      <x:c r="X39" s="16"/>
      <x:c r="Y39" s="14"/>
      <x:c r="Z39" s="66" t="str">
        <x:f t="shared" si="0">IF(A39="","",IF(MAX(LEN(E39),LEN(F39),LEN(G39),LEN(H39))&gt;2*MIN(LEN(E39),LEN(F39),LEN(G39),LEN(H39)),"Review answer lengths",""))</x:f>
      </x:c>
      <x:c r="AA39" s="66" t="str">
        <x:f t="shared" si="1">IF(A39="","",IF(COUNTIF($A$2:$A$301,A39)&gt;1,"Duplicate ID",IF(COUNTIF($D$2:$D$301,D39)&gt;1,"Review repeated text","")))</x:f>
      </x:c>
      <x:c r="AB39" s="66" t="str">
        <x:f t="shared" si="2">IF(A39="","","Unique string or number; no numeric range required")</x:f>
      </x:c>
      <x:c r="AC39" s="66" t="str">
        <x:f>IF(A39="","",IF(OR(B39="",D39="",E39="",F39="",G39="",H39="",J39="",K39="",L39="",M39="",O39="",P39="",AND(I39="",AG39=""),AND(B39&lt;&gt;"repair",B39&lt;&gt;"bridge",C39="")),"INCOMPLETE","CHECK ONLINE"))</x:f>
      </x:c>
      <x:c r="AD39" s="67" t="str">
        <x:f>IF(A39="","",IF(AC39="INCOMPLETE","Fill required fields including RepairSkill and an answer. See Instructions.","Copy all columns with headers to the browser validator for full schema, assets and mode checks."))</x:f>
      </x:c>
      <x:c r="AE39" s="67" t="str">
        <x:f t="shared" si="3">IF(A39="","","https://masteryquests.org/tools/question-bank-validator/")</x:f>
      </x:c>
      <x:c r="AF39" s="60"/>
      <x:c r="AH39" s="60"/>
      <x:c r="AI39" s="60"/>
    </x:row>
    <x:row r="40" ht="45" customHeight="1">
      <x:c r="A40" s="15"/>
      <x:c r="B40" s="15"/>
      <x:c r="C40" s="15"/>
      <x:c r="D40" s="12"/>
      <x:c r="E40" s="12"/>
      <x:c r="F40" s="12"/>
      <x:c r="G40" s="12"/>
      <x:c r="H40" s="12"/>
      <x:c r="I40" s="15"/>
      <x:c r="J40" s="12"/>
      <x:c r="K40" s="12"/>
      <x:c r="L40" s="12"/>
      <x:c r="M40" s="12"/>
      <x:c r="N40" s="12"/>
      <x:c r="O40" s="13"/>
      <x:c r="P40" s="13"/>
      <x:c r="Q40" s="13"/>
      <x:c r="R40" s="13"/>
      <x:c r="S40" s="13"/>
      <x:c r="T40" s="13"/>
      <x:c r="U40" s="14"/>
      <x:c r="V40" s="14"/>
      <x:c r="W40" s="16"/>
      <x:c r="X40" s="16"/>
      <x:c r="Y40" s="14"/>
      <x:c r="Z40" s="66" t="str">
        <x:f t="shared" si="0">IF(A40="","",IF(MAX(LEN(E40),LEN(F40),LEN(G40),LEN(H40))&gt;2*MIN(LEN(E40),LEN(F40),LEN(G40),LEN(H40)),"Review answer lengths",""))</x:f>
      </x:c>
      <x:c r="AA40" s="66" t="str">
        <x:f t="shared" si="1">IF(A40="","",IF(COUNTIF($A$2:$A$301,A40)&gt;1,"Duplicate ID",IF(COUNTIF($D$2:$D$301,D40)&gt;1,"Review repeated text","")))</x:f>
      </x:c>
      <x:c r="AB40" s="66" t="str">
        <x:f t="shared" si="2">IF(A40="","","Unique string or number; no numeric range required")</x:f>
      </x:c>
      <x:c r="AC40" s="66" t="str">
        <x:f>IF(A40="","",IF(OR(B40="",D40="",E40="",F40="",G40="",H40="",J40="",K40="",L40="",M40="",O40="",P40="",AND(I40="",AG40=""),AND(B40&lt;&gt;"repair",B40&lt;&gt;"bridge",C40="")),"INCOMPLETE","CHECK ONLINE"))</x:f>
      </x:c>
      <x:c r="AD40" s="67" t="str">
        <x:f>IF(A40="","",IF(AC40="INCOMPLETE","Fill required fields including RepairSkill and an answer. See Instructions.","Copy all columns with headers to the browser validator for full schema, assets and mode checks."))</x:f>
      </x:c>
      <x:c r="AE40" s="67" t="str">
        <x:f t="shared" si="3">IF(A40="","","https://masteryquests.org/tools/question-bank-validator/")</x:f>
      </x:c>
      <x:c r="AF40" s="60"/>
      <x:c r="AH40" s="60"/>
      <x:c r="AI40" s="60"/>
    </x:row>
    <x:row r="41" ht="45" customHeight="1">
      <x:c r="A41" s="15"/>
      <x:c r="B41" s="15"/>
      <x:c r="C41" s="15"/>
      <x:c r="D41" s="12"/>
      <x:c r="E41" s="12"/>
      <x:c r="F41" s="12"/>
      <x:c r="G41" s="12"/>
      <x:c r="H41" s="12"/>
      <x:c r="I41" s="15"/>
      <x:c r="J41" s="12"/>
      <x:c r="K41" s="12"/>
      <x:c r="L41" s="12"/>
      <x:c r="M41" s="12"/>
      <x:c r="N41" s="12"/>
      <x:c r="O41" s="13"/>
      <x:c r="P41" s="13"/>
      <x:c r="Q41" s="13"/>
      <x:c r="R41" s="13"/>
      <x:c r="S41" s="13"/>
      <x:c r="T41" s="13"/>
      <x:c r="U41" s="14"/>
      <x:c r="V41" s="14"/>
      <x:c r="W41" s="16"/>
      <x:c r="X41" s="16"/>
      <x:c r="Y41" s="14"/>
      <x:c r="Z41" s="66" t="str">
        <x:f t="shared" si="0">IF(A41="","",IF(MAX(LEN(E41),LEN(F41),LEN(G41),LEN(H41))&gt;2*MIN(LEN(E41),LEN(F41),LEN(G41),LEN(H41)),"Review answer lengths",""))</x:f>
      </x:c>
      <x:c r="AA41" s="66" t="str">
        <x:f t="shared" si="1">IF(A41="","",IF(COUNTIF($A$2:$A$301,A41)&gt;1,"Duplicate ID",IF(COUNTIF($D$2:$D$301,D41)&gt;1,"Review repeated text","")))</x:f>
      </x:c>
      <x:c r="AB41" s="66" t="str">
        <x:f t="shared" si="2">IF(A41="","","Unique string or number; no numeric range required")</x:f>
      </x:c>
      <x:c r="AC41" s="66" t="str">
        <x:f>IF(A41="","",IF(OR(B41="",D41="",E41="",F41="",G41="",H41="",J41="",K41="",L41="",M41="",O41="",P41="",AND(I41="",AG41=""),AND(B41&lt;&gt;"repair",B41&lt;&gt;"bridge",C41="")),"INCOMPLETE","CHECK ONLINE"))</x:f>
      </x:c>
      <x:c r="AD41" s="67" t="str">
        <x:f>IF(A41="","",IF(AC41="INCOMPLETE","Fill required fields including RepairSkill and an answer. See Instructions.","Copy all columns with headers to the browser validator for full schema, assets and mode checks."))</x:f>
      </x:c>
      <x:c r="AE41" s="67" t="str">
        <x:f t="shared" si="3">IF(A41="","","https://masteryquests.org/tools/question-bank-validator/")</x:f>
      </x:c>
      <x:c r="AF41" s="60"/>
      <x:c r="AH41" s="60"/>
      <x:c r="AI41" s="60"/>
    </x:row>
    <x:row r="42" ht="45" customHeight="1">
      <x:c r="A42" s="15"/>
      <x:c r="B42" s="15"/>
      <x:c r="C42" s="15"/>
      <x:c r="D42" s="12"/>
      <x:c r="E42" s="12"/>
      <x:c r="F42" s="12"/>
      <x:c r="G42" s="12"/>
      <x:c r="H42" s="12"/>
      <x:c r="I42" s="15"/>
      <x:c r="J42" s="12"/>
      <x:c r="K42" s="12"/>
      <x:c r="L42" s="12"/>
      <x:c r="M42" s="12"/>
      <x:c r="N42" s="12"/>
      <x:c r="O42" s="13"/>
      <x:c r="P42" s="13"/>
      <x:c r="Q42" s="13"/>
      <x:c r="R42" s="13"/>
      <x:c r="S42" s="13"/>
      <x:c r="T42" s="13"/>
      <x:c r="U42" s="14"/>
      <x:c r="V42" s="14"/>
      <x:c r="W42" s="16"/>
      <x:c r="X42" s="16"/>
      <x:c r="Y42" s="14"/>
      <x:c r="Z42" s="66" t="str">
        <x:f t="shared" si="0">IF(A42="","",IF(MAX(LEN(E42),LEN(F42),LEN(G42),LEN(H42))&gt;2*MIN(LEN(E42),LEN(F42),LEN(G42),LEN(H42)),"Review answer lengths",""))</x:f>
      </x:c>
      <x:c r="AA42" s="66" t="str">
        <x:f t="shared" si="1">IF(A42="","",IF(COUNTIF($A$2:$A$301,A42)&gt;1,"Duplicate ID",IF(COUNTIF($D$2:$D$301,D42)&gt;1,"Review repeated text","")))</x:f>
      </x:c>
      <x:c r="AB42" s="66" t="str">
        <x:f t="shared" si="2">IF(A42="","","Unique string or number; no numeric range required")</x:f>
      </x:c>
      <x:c r="AC42" s="66" t="str">
        <x:f>IF(A42="","",IF(OR(B42="",D42="",E42="",F42="",G42="",H42="",J42="",K42="",L42="",M42="",O42="",P42="",AND(I42="",AG42=""),AND(B42&lt;&gt;"repair",B42&lt;&gt;"bridge",C42="")),"INCOMPLETE","CHECK ONLINE"))</x:f>
      </x:c>
      <x:c r="AD42" s="67" t="str">
        <x:f>IF(A42="","",IF(AC42="INCOMPLETE","Fill required fields including RepairSkill and an answer. See Instructions.","Copy all columns with headers to the browser validator for full schema, assets and mode checks."))</x:f>
      </x:c>
      <x:c r="AE42" s="67" t="str">
        <x:f t="shared" si="3">IF(A42="","","https://masteryquests.org/tools/question-bank-validator/")</x:f>
      </x:c>
      <x:c r="AF42" s="60"/>
      <x:c r="AH42" s="60"/>
      <x:c r="AI42" s="60"/>
    </x:row>
    <x:row r="43" ht="45" customHeight="1">
      <x:c r="A43" s="15"/>
      <x:c r="B43" s="15"/>
      <x:c r="C43" s="15"/>
      <x:c r="D43" s="12"/>
      <x:c r="E43" s="12"/>
      <x:c r="F43" s="12"/>
      <x:c r="G43" s="12"/>
      <x:c r="H43" s="12"/>
      <x:c r="I43" s="15"/>
      <x:c r="J43" s="12"/>
      <x:c r="K43" s="12"/>
      <x:c r="L43" s="12"/>
      <x:c r="M43" s="12"/>
      <x:c r="N43" s="12"/>
      <x:c r="O43" s="13"/>
      <x:c r="P43" s="13"/>
      <x:c r="Q43" s="13"/>
      <x:c r="R43" s="13"/>
      <x:c r="S43" s="13"/>
      <x:c r="T43" s="13"/>
      <x:c r="U43" s="14"/>
      <x:c r="V43" s="14"/>
      <x:c r="W43" s="16"/>
      <x:c r="X43" s="16"/>
      <x:c r="Y43" s="14"/>
      <x:c r="Z43" s="66" t="str">
        <x:f t="shared" si="0">IF(A43="","",IF(MAX(LEN(E43),LEN(F43),LEN(G43),LEN(H43))&gt;2*MIN(LEN(E43),LEN(F43),LEN(G43),LEN(H43)),"Review answer lengths",""))</x:f>
      </x:c>
      <x:c r="AA43" s="66" t="str">
        <x:f t="shared" si="1">IF(A43="","",IF(COUNTIF($A$2:$A$301,A43)&gt;1,"Duplicate ID",IF(COUNTIF($D$2:$D$301,D43)&gt;1,"Review repeated text","")))</x:f>
      </x:c>
      <x:c r="AB43" s="66" t="str">
        <x:f t="shared" si="2">IF(A43="","","Unique string or number; no numeric range required")</x:f>
      </x:c>
      <x:c r="AC43" s="66" t="str">
        <x:f>IF(A43="","",IF(OR(B43="",D43="",E43="",F43="",G43="",H43="",J43="",K43="",L43="",M43="",O43="",P43="",AND(I43="",AG43=""),AND(B43&lt;&gt;"repair",B43&lt;&gt;"bridge",C43="")),"INCOMPLETE","CHECK ONLINE"))</x:f>
      </x:c>
      <x:c r="AD43" s="67" t="str">
        <x:f>IF(A43="","",IF(AC43="INCOMPLETE","Fill required fields including RepairSkill and an answer. See Instructions.","Copy all columns with headers to the browser validator for full schema, assets and mode checks."))</x:f>
      </x:c>
      <x:c r="AE43" s="67" t="str">
        <x:f t="shared" si="3">IF(A43="","","https://masteryquests.org/tools/question-bank-validator/")</x:f>
      </x:c>
      <x:c r="AF43" s="60"/>
      <x:c r="AH43" s="60"/>
      <x:c r="AI43" s="60"/>
    </x:row>
    <x:row r="44" ht="45" customHeight="1">
      <x:c r="A44" s="15"/>
      <x:c r="B44" s="15"/>
      <x:c r="C44" s="15"/>
      <x:c r="D44" s="12"/>
      <x:c r="E44" s="12"/>
      <x:c r="F44" s="12"/>
      <x:c r="G44" s="12"/>
      <x:c r="H44" s="12"/>
      <x:c r="I44" s="15"/>
      <x:c r="J44" s="12"/>
      <x:c r="K44" s="12"/>
      <x:c r="L44" s="12"/>
      <x:c r="M44" s="12"/>
      <x:c r="N44" s="12"/>
      <x:c r="O44" s="13"/>
      <x:c r="P44" s="13"/>
      <x:c r="Q44" s="13"/>
      <x:c r="R44" s="13"/>
      <x:c r="S44" s="13"/>
      <x:c r="T44" s="13"/>
      <x:c r="U44" s="14"/>
      <x:c r="V44" s="14"/>
      <x:c r="W44" s="16"/>
      <x:c r="X44" s="16"/>
      <x:c r="Y44" s="14"/>
      <x:c r="Z44" s="66" t="str">
        <x:f t="shared" si="0">IF(A44="","",IF(MAX(LEN(E44),LEN(F44),LEN(G44),LEN(H44))&gt;2*MIN(LEN(E44),LEN(F44),LEN(G44),LEN(H44)),"Review answer lengths",""))</x:f>
      </x:c>
      <x:c r="AA44" s="66" t="str">
        <x:f t="shared" si="1">IF(A44="","",IF(COUNTIF($A$2:$A$301,A44)&gt;1,"Duplicate ID",IF(COUNTIF($D$2:$D$301,D44)&gt;1,"Review repeated text","")))</x:f>
      </x:c>
      <x:c r="AB44" s="66" t="str">
        <x:f t="shared" si="2">IF(A44="","","Unique string or number; no numeric range required")</x:f>
      </x:c>
      <x:c r="AC44" s="66" t="str">
        <x:f>IF(A44="","",IF(OR(B44="",D44="",E44="",F44="",G44="",H44="",J44="",K44="",L44="",M44="",O44="",P44="",AND(I44="",AG44=""),AND(B44&lt;&gt;"repair",B44&lt;&gt;"bridge",C44="")),"INCOMPLETE","CHECK ONLINE"))</x:f>
      </x:c>
      <x:c r="AD44" s="67" t="str">
        <x:f>IF(A44="","",IF(AC44="INCOMPLETE","Fill required fields including RepairSkill and an answer. See Instructions.","Copy all columns with headers to the browser validator for full schema, assets and mode checks."))</x:f>
      </x:c>
      <x:c r="AE44" s="67" t="str">
        <x:f t="shared" si="3">IF(A44="","","https://masteryquests.org/tools/question-bank-validator/")</x:f>
      </x:c>
      <x:c r="AF44" s="60"/>
      <x:c r="AH44" s="60"/>
      <x:c r="AI44" s="60"/>
    </x:row>
    <x:row r="45" ht="45" customHeight="1">
      <x:c r="A45" s="15"/>
      <x:c r="B45" s="15"/>
      <x:c r="C45" s="15"/>
      <x:c r="D45" s="12"/>
      <x:c r="E45" s="12"/>
      <x:c r="F45" s="12"/>
      <x:c r="G45" s="12"/>
      <x:c r="H45" s="12"/>
      <x:c r="I45" s="15"/>
      <x:c r="J45" s="12"/>
      <x:c r="K45" s="12"/>
      <x:c r="L45" s="12"/>
      <x:c r="M45" s="12"/>
      <x:c r="N45" s="12"/>
      <x:c r="O45" s="13"/>
      <x:c r="P45" s="13"/>
      <x:c r="Q45" s="13"/>
      <x:c r="R45" s="13"/>
      <x:c r="S45" s="13"/>
      <x:c r="T45" s="13"/>
      <x:c r="U45" s="14"/>
      <x:c r="V45" s="14"/>
      <x:c r="W45" s="16"/>
      <x:c r="X45" s="16"/>
      <x:c r="Y45" s="14"/>
      <x:c r="Z45" s="66" t="str">
        <x:f t="shared" si="0">IF(A45="","",IF(MAX(LEN(E45),LEN(F45),LEN(G45),LEN(H45))&gt;2*MIN(LEN(E45),LEN(F45),LEN(G45),LEN(H45)),"Review answer lengths",""))</x:f>
      </x:c>
      <x:c r="AA45" s="66" t="str">
        <x:f t="shared" si="1">IF(A45="","",IF(COUNTIF($A$2:$A$301,A45)&gt;1,"Duplicate ID",IF(COUNTIF($D$2:$D$301,D45)&gt;1,"Review repeated text","")))</x:f>
      </x:c>
      <x:c r="AB45" s="66" t="str">
        <x:f t="shared" si="2">IF(A45="","","Unique string or number; no numeric range required")</x:f>
      </x:c>
      <x:c r="AC45" s="66" t="str">
        <x:f>IF(A45="","",IF(OR(B45="",D45="",E45="",F45="",G45="",H45="",J45="",K45="",L45="",M45="",O45="",P45="",AND(I45="",AG45=""),AND(B45&lt;&gt;"repair",B45&lt;&gt;"bridge",C45="")),"INCOMPLETE","CHECK ONLINE"))</x:f>
      </x:c>
      <x:c r="AD45" s="67" t="str">
        <x:f>IF(A45="","",IF(AC45="INCOMPLETE","Fill required fields including RepairSkill and an answer. See Instructions.","Copy all columns with headers to the browser validator for full schema, assets and mode checks."))</x:f>
      </x:c>
      <x:c r="AE45" s="67" t="str">
        <x:f t="shared" si="3">IF(A45="","","https://masteryquests.org/tools/question-bank-validator/")</x:f>
      </x:c>
      <x:c r="AF45" s="60"/>
      <x:c r="AH45" s="60"/>
      <x:c r="AI45" s="60"/>
    </x:row>
    <x:row r="46" ht="45" customHeight="1">
      <x:c r="A46" s="15"/>
      <x:c r="B46" s="15"/>
      <x:c r="C46" s="15"/>
      <x:c r="D46" s="12"/>
      <x:c r="E46" s="12"/>
      <x:c r="F46" s="12"/>
      <x:c r="G46" s="12"/>
      <x:c r="H46" s="12"/>
      <x:c r="I46" s="15"/>
      <x:c r="J46" s="12"/>
      <x:c r="K46" s="12"/>
      <x:c r="L46" s="12"/>
      <x:c r="M46" s="12"/>
      <x:c r="N46" s="12"/>
      <x:c r="O46" s="13"/>
      <x:c r="P46" s="13"/>
      <x:c r="Q46" s="13"/>
      <x:c r="R46" s="13"/>
      <x:c r="S46" s="13"/>
      <x:c r="T46" s="13"/>
      <x:c r="U46" s="14"/>
      <x:c r="V46" s="14"/>
      <x:c r="W46" s="16"/>
      <x:c r="X46" s="16"/>
      <x:c r="Y46" s="14"/>
      <x:c r="Z46" s="66" t="str">
        <x:f t="shared" si="0">IF(A46="","",IF(MAX(LEN(E46),LEN(F46),LEN(G46),LEN(H46))&gt;2*MIN(LEN(E46),LEN(F46),LEN(G46),LEN(H46)),"Review answer lengths",""))</x:f>
      </x:c>
      <x:c r="AA46" s="66" t="str">
        <x:f t="shared" si="1">IF(A46="","",IF(COUNTIF($A$2:$A$301,A46)&gt;1,"Duplicate ID",IF(COUNTIF($D$2:$D$301,D46)&gt;1,"Review repeated text","")))</x:f>
      </x:c>
      <x:c r="AB46" s="66" t="str">
        <x:f t="shared" si="2">IF(A46="","","Unique string or number; no numeric range required")</x:f>
      </x:c>
      <x:c r="AC46" s="66" t="str">
        <x:f>IF(A46="","",IF(OR(B46="",D46="",E46="",F46="",G46="",H46="",J46="",K46="",L46="",M46="",O46="",P46="",AND(I46="",AG46=""),AND(B46&lt;&gt;"repair",B46&lt;&gt;"bridge",C46="")),"INCOMPLETE","CHECK ONLINE"))</x:f>
      </x:c>
      <x:c r="AD46" s="67" t="str">
        <x:f>IF(A46="","",IF(AC46="INCOMPLETE","Fill required fields including RepairSkill and an answer. See Instructions.","Copy all columns with headers to the browser validator for full schema, assets and mode checks."))</x:f>
      </x:c>
      <x:c r="AE46" s="67" t="str">
        <x:f t="shared" si="3">IF(A46="","","https://masteryquests.org/tools/question-bank-validator/")</x:f>
      </x:c>
      <x:c r="AF46" s="60"/>
      <x:c r="AH46" s="60"/>
      <x:c r="AI46" s="60"/>
    </x:row>
    <x:row r="47" ht="45" customHeight="1">
      <x:c r="A47" s="15"/>
      <x:c r="B47" s="15"/>
      <x:c r="C47" s="15"/>
      <x:c r="D47" s="12"/>
      <x:c r="E47" s="12"/>
      <x:c r="F47" s="12"/>
      <x:c r="G47" s="12"/>
      <x:c r="H47" s="12"/>
      <x:c r="I47" s="15"/>
      <x:c r="J47" s="12"/>
      <x:c r="K47" s="12"/>
      <x:c r="L47" s="12"/>
      <x:c r="M47" s="12"/>
      <x:c r="N47" s="12"/>
      <x:c r="O47" s="13"/>
      <x:c r="P47" s="13"/>
      <x:c r="Q47" s="13"/>
      <x:c r="R47" s="13"/>
      <x:c r="S47" s="13"/>
      <x:c r="T47" s="13"/>
      <x:c r="U47" s="14"/>
      <x:c r="V47" s="14"/>
      <x:c r="W47" s="16"/>
      <x:c r="X47" s="16"/>
      <x:c r="Y47" s="14"/>
      <x:c r="Z47" s="66" t="str">
        <x:f t="shared" si="0">IF(A47="","",IF(MAX(LEN(E47),LEN(F47),LEN(G47),LEN(H47))&gt;2*MIN(LEN(E47),LEN(F47),LEN(G47),LEN(H47)),"Review answer lengths",""))</x:f>
      </x:c>
      <x:c r="AA47" s="66" t="str">
        <x:f t="shared" si="1">IF(A47="","",IF(COUNTIF($A$2:$A$301,A47)&gt;1,"Duplicate ID",IF(COUNTIF($D$2:$D$301,D47)&gt;1,"Review repeated text","")))</x:f>
      </x:c>
      <x:c r="AB47" s="66" t="str">
        <x:f t="shared" si="2">IF(A47="","","Unique string or number; no numeric range required")</x:f>
      </x:c>
      <x:c r="AC47" s="66" t="str">
        <x:f>IF(A47="","",IF(OR(B47="",D47="",E47="",F47="",G47="",H47="",J47="",K47="",L47="",M47="",O47="",P47="",AND(I47="",AG47=""),AND(B47&lt;&gt;"repair",B47&lt;&gt;"bridge",C47="")),"INCOMPLETE","CHECK ONLINE"))</x:f>
      </x:c>
      <x:c r="AD47" s="67" t="str">
        <x:f>IF(A47="","",IF(AC47="INCOMPLETE","Fill required fields including RepairSkill and an answer. See Instructions.","Copy all columns with headers to the browser validator for full schema, assets and mode checks."))</x:f>
      </x:c>
      <x:c r="AE47" s="67" t="str">
        <x:f t="shared" si="3">IF(A47="","","https://masteryquests.org/tools/question-bank-validator/")</x:f>
      </x:c>
      <x:c r="AF47" s="60"/>
      <x:c r="AH47" s="60"/>
      <x:c r="AI47" s="60"/>
    </x:row>
    <x:row r="48" ht="45" customHeight="1">
      <x:c r="A48" s="15"/>
      <x:c r="B48" s="15"/>
      <x:c r="C48" s="15"/>
      <x:c r="D48" s="12"/>
      <x:c r="E48" s="12"/>
      <x:c r="F48" s="12"/>
      <x:c r="G48" s="12"/>
      <x:c r="H48" s="12"/>
      <x:c r="I48" s="15"/>
      <x:c r="J48" s="12"/>
      <x:c r="K48" s="12"/>
      <x:c r="L48" s="12"/>
      <x:c r="M48" s="12"/>
      <x:c r="N48" s="12"/>
      <x:c r="O48" s="13"/>
      <x:c r="P48" s="13"/>
      <x:c r="Q48" s="13"/>
      <x:c r="R48" s="13"/>
      <x:c r="S48" s="13"/>
      <x:c r="T48" s="13"/>
      <x:c r="U48" s="14"/>
      <x:c r="V48" s="14"/>
      <x:c r="W48" s="16"/>
      <x:c r="X48" s="16"/>
      <x:c r="Y48" s="14"/>
      <x:c r="Z48" s="66" t="str">
        <x:f t="shared" si="0">IF(A48="","",IF(MAX(LEN(E48),LEN(F48),LEN(G48),LEN(H48))&gt;2*MIN(LEN(E48),LEN(F48),LEN(G48),LEN(H48)),"Review answer lengths",""))</x:f>
      </x:c>
      <x:c r="AA48" s="66" t="str">
        <x:f t="shared" si="1">IF(A48="","",IF(COUNTIF($A$2:$A$301,A48)&gt;1,"Duplicate ID",IF(COUNTIF($D$2:$D$301,D48)&gt;1,"Review repeated text","")))</x:f>
      </x:c>
      <x:c r="AB48" s="66" t="str">
        <x:f t="shared" si="2">IF(A48="","","Unique string or number; no numeric range required")</x:f>
      </x:c>
      <x:c r="AC48" s="66" t="str">
        <x:f>IF(A48="","",IF(OR(B48="",D48="",E48="",F48="",G48="",H48="",J48="",K48="",L48="",M48="",O48="",P48="",AND(I48="",AG48=""),AND(B48&lt;&gt;"repair",B48&lt;&gt;"bridge",C48="")),"INCOMPLETE","CHECK ONLINE"))</x:f>
      </x:c>
      <x:c r="AD48" s="67" t="str">
        <x:f>IF(A48="","",IF(AC48="INCOMPLETE","Fill required fields including RepairSkill and an answer. See Instructions.","Copy all columns with headers to the browser validator for full schema, assets and mode checks."))</x:f>
      </x:c>
      <x:c r="AE48" s="67" t="str">
        <x:f t="shared" si="3">IF(A48="","","https://masteryquests.org/tools/question-bank-validator/")</x:f>
      </x:c>
      <x:c r="AF48" s="60"/>
      <x:c r="AH48" s="60"/>
      <x:c r="AI48" s="60"/>
    </x:row>
    <x:row r="49" ht="45" customHeight="1">
      <x:c r="A49" s="15"/>
      <x:c r="B49" s="15"/>
      <x:c r="C49" s="15"/>
      <x:c r="D49" s="12"/>
      <x:c r="E49" s="12"/>
      <x:c r="F49" s="12"/>
      <x:c r="G49" s="12"/>
      <x:c r="H49" s="12"/>
      <x:c r="I49" s="15"/>
      <x:c r="J49" s="12"/>
      <x:c r="K49" s="12"/>
      <x:c r="L49" s="12"/>
      <x:c r="M49" s="12"/>
      <x:c r="N49" s="12"/>
      <x:c r="O49" s="13"/>
      <x:c r="P49" s="13"/>
      <x:c r="Q49" s="13"/>
      <x:c r="R49" s="13"/>
      <x:c r="S49" s="13"/>
      <x:c r="T49" s="13"/>
      <x:c r="U49" s="14"/>
      <x:c r="V49" s="14"/>
      <x:c r="W49" s="16"/>
      <x:c r="X49" s="16"/>
      <x:c r="Y49" s="14"/>
      <x:c r="Z49" s="66" t="str">
        <x:f t="shared" si="0">IF(A49="","",IF(MAX(LEN(E49),LEN(F49),LEN(G49),LEN(H49))&gt;2*MIN(LEN(E49),LEN(F49),LEN(G49),LEN(H49)),"Review answer lengths",""))</x:f>
      </x:c>
      <x:c r="AA49" s="66" t="str">
        <x:f t="shared" si="1">IF(A49="","",IF(COUNTIF($A$2:$A$301,A49)&gt;1,"Duplicate ID",IF(COUNTIF($D$2:$D$301,D49)&gt;1,"Review repeated text","")))</x:f>
      </x:c>
      <x:c r="AB49" s="66" t="str">
        <x:f t="shared" si="2">IF(A49="","","Unique string or number; no numeric range required")</x:f>
      </x:c>
      <x:c r="AC49" s="66" t="str">
        <x:f>IF(A49="","",IF(OR(B49="",D49="",E49="",F49="",G49="",H49="",J49="",K49="",L49="",M49="",O49="",P49="",AND(I49="",AG49=""),AND(B49&lt;&gt;"repair",B49&lt;&gt;"bridge",C49="")),"INCOMPLETE","CHECK ONLINE"))</x:f>
      </x:c>
      <x:c r="AD49" s="67" t="str">
        <x:f>IF(A49="","",IF(AC49="INCOMPLETE","Fill required fields including RepairSkill and an answer. See Instructions.","Copy all columns with headers to the browser validator for full schema, assets and mode checks."))</x:f>
      </x:c>
      <x:c r="AE49" s="67" t="str">
        <x:f t="shared" si="3">IF(A49="","","https://masteryquests.org/tools/question-bank-validator/")</x:f>
      </x:c>
      <x:c r="AF49" s="60"/>
      <x:c r="AH49" s="60"/>
      <x:c r="AI49" s="60"/>
    </x:row>
    <x:row r="50" ht="45" customHeight="1">
      <x:c r="A50" s="15"/>
      <x:c r="B50" s="15"/>
      <x:c r="C50" s="15"/>
      <x:c r="D50" s="12"/>
      <x:c r="E50" s="12"/>
      <x:c r="F50" s="12"/>
      <x:c r="G50" s="12"/>
      <x:c r="H50" s="12"/>
      <x:c r="I50" s="15"/>
      <x:c r="J50" s="12"/>
      <x:c r="K50" s="12"/>
      <x:c r="L50" s="12"/>
      <x:c r="M50" s="12"/>
      <x:c r="N50" s="12"/>
      <x:c r="O50" s="13"/>
      <x:c r="P50" s="13"/>
      <x:c r="Q50" s="13"/>
      <x:c r="R50" s="13"/>
      <x:c r="S50" s="13"/>
      <x:c r="T50" s="13"/>
      <x:c r="U50" s="14"/>
      <x:c r="V50" s="14"/>
      <x:c r="W50" s="16"/>
      <x:c r="X50" s="16"/>
      <x:c r="Y50" s="14"/>
      <x:c r="Z50" s="66" t="str">
        <x:f t="shared" si="0">IF(A50="","",IF(MAX(LEN(E50),LEN(F50),LEN(G50),LEN(H50))&gt;2*MIN(LEN(E50),LEN(F50),LEN(G50),LEN(H50)),"Review answer lengths",""))</x:f>
      </x:c>
      <x:c r="AA50" s="66" t="str">
        <x:f t="shared" si="1">IF(A50="","",IF(COUNTIF($A$2:$A$301,A50)&gt;1,"Duplicate ID",IF(COUNTIF($D$2:$D$301,D50)&gt;1,"Review repeated text","")))</x:f>
      </x:c>
      <x:c r="AB50" s="66" t="str">
        <x:f t="shared" si="2">IF(A50="","","Unique string or number; no numeric range required")</x:f>
      </x:c>
      <x:c r="AC50" s="66" t="str">
        <x:f>IF(A50="","",IF(OR(B50="",D50="",E50="",F50="",G50="",H50="",J50="",K50="",L50="",M50="",O50="",P50="",AND(I50="",AG50=""),AND(B50&lt;&gt;"repair",B50&lt;&gt;"bridge",C50="")),"INCOMPLETE","CHECK ONLINE"))</x:f>
      </x:c>
      <x:c r="AD50" s="67" t="str">
        <x:f>IF(A50="","",IF(AC50="INCOMPLETE","Fill required fields including RepairSkill and an answer. See Instructions.","Copy all columns with headers to the browser validator for full schema, assets and mode checks."))</x:f>
      </x:c>
      <x:c r="AE50" s="67" t="str">
        <x:f t="shared" si="3">IF(A50="","","https://masteryquests.org/tools/question-bank-validator/")</x:f>
      </x:c>
      <x:c r="AF50" s="60"/>
      <x:c r="AH50" s="60"/>
      <x:c r="AI50" s="60"/>
    </x:row>
    <x:row r="51" ht="45" customHeight="1">
      <x:c r="A51" s="15"/>
      <x:c r="B51" s="15"/>
      <x:c r="C51" s="15"/>
      <x:c r="D51" s="12"/>
      <x:c r="E51" s="12"/>
      <x:c r="F51" s="12"/>
      <x:c r="G51" s="12"/>
      <x:c r="H51" s="12"/>
      <x:c r="I51" s="15"/>
      <x:c r="J51" s="12"/>
      <x:c r="K51" s="12"/>
      <x:c r="L51" s="12"/>
      <x:c r="M51" s="12"/>
      <x:c r="N51" s="12"/>
      <x:c r="O51" s="13"/>
      <x:c r="P51" s="13"/>
      <x:c r="Q51" s="13"/>
      <x:c r="R51" s="13"/>
      <x:c r="S51" s="13"/>
      <x:c r="T51" s="13"/>
      <x:c r="U51" s="14"/>
      <x:c r="V51" s="14"/>
      <x:c r="W51" s="16"/>
      <x:c r="X51" s="16"/>
      <x:c r="Y51" s="14"/>
      <x:c r="Z51" s="66" t="str">
        <x:f t="shared" si="0">IF(A51="","",IF(MAX(LEN(E51),LEN(F51),LEN(G51),LEN(H51))&gt;2*MIN(LEN(E51),LEN(F51),LEN(G51),LEN(H51)),"Review answer lengths",""))</x:f>
      </x:c>
      <x:c r="AA51" s="66" t="str">
        <x:f t="shared" si="1">IF(A51="","",IF(COUNTIF($A$2:$A$301,A51)&gt;1,"Duplicate ID",IF(COUNTIF($D$2:$D$301,D51)&gt;1,"Review repeated text","")))</x:f>
      </x:c>
      <x:c r="AB51" s="66" t="str">
        <x:f t="shared" si="2">IF(A51="","","Unique string or number; no numeric range required")</x:f>
      </x:c>
      <x:c r="AC51" s="66" t="str">
        <x:f>IF(A51="","",IF(OR(B51="",D51="",E51="",F51="",G51="",H51="",J51="",K51="",L51="",M51="",O51="",P51="",AND(I51="",AG51=""),AND(B51&lt;&gt;"repair",B51&lt;&gt;"bridge",C51="")),"INCOMPLETE","CHECK ONLINE"))</x:f>
      </x:c>
      <x:c r="AD51" s="67" t="str">
        <x:f>IF(A51="","",IF(AC51="INCOMPLETE","Fill required fields including RepairSkill and an answer. See Instructions.","Copy all columns with headers to the browser validator for full schema, assets and mode checks."))</x:f>
      </x:c>
      <x:c r="AE51" s="67" t="str">
        <x:f t="shared" si="3">IF(A51="","","https://masteryquests.org/tools/question-bank-validator/")</x:f>
      </x:c>
      <x:c r="AF51" s="60"/>
      <x:c r="AH51" s="60"/>
      <x:c r="AI51" s="60"/>
    </x:row>
    <x:row r="52" ht="45" customHeight="1">
      <x:c r="A52" s="15"/>
      <x:c r="B52" s="15"/>
      <x:c r="C52" s="15"/>
      <x:c r="D52" s="12"/>
      <x:c r="E52" s="12"/>
      <x:c r="F52" s="12"/>
      <x:c r="G52" s="12"/>
      <x:c r="H52" s="12"/>
      <x:c r="I52" s="15"/>
      <x:c r="J52" s="12"/>
      <x:c r="K52" s="12"/>
      <x:c r="L52" s="12"/>
      <x:c r="M52" s="12"/>
      <x:c r="N52" s="12"/>
      <x:c r="O52" s="13"/>
      <x:c r="P52" s="13"/>
      <x:c r="Q52" s="13"/>
      <x:c r="R52" s="13"/>
      <x:c r="S52" s="13"/>
      <x:c r="T52" s="13"/>
      <x:c r="U52" s="14"/>
      <x:c r="V52" s="14"/>
      <x:c r="W52" s="16"/>
      <x:c r="X52" s="16"/>
      <x:c r="Y52" s="14"/>
      <x:c r="Z52" s="66" t="str">
        <x:f t="shared" si="0">IF(A52="","",IF(MAX(LEN(E52),LEN(F52),LEN(G52),LEN(H52))&gt;2*MIN(LEN(E52),LEN(F52),LEN(G52),LEN(H52)),"Review answer lengths",""))</x:f>
      </x:c>
      <x:c r="AA52" s="66" t="str">
        <x:f t="shared" si="1">IF(A52="","",IF(COUNTIF($A$2:$A$301,A52)&gt;1,"Duplicate ID",IF(COUNTIF($D$2:$D$301,D52)&gt;1,"Review repeated text","")))</x:f>
      </x:c>
      <x:c r="AB52" s="66" t="str">
        <x:f t="shared" si="2">IF(A52="","","Unique string or number; no numeric range required")</x:f>
      </x:c>
      <x:c r="AC52" s="66" t="str">
        <x:f>IF(A52="","",IF(OR(B52="",D52="",E52="",F52="",G52="",H52="",J52="",K52="",L52="",M52="",O52="",P52="",AND(I52="",AG52=""),AND(B52&lt;&gt;"repair",B52&lt;&gt;"bridge",C52="")),"INCOMPLETE","CHECK ONLINE"))</x:f>
      </x:c>
      <x:c r="AD52" s="67" t="str">
        <x:f>IF(A52="","",IF(AC52="INCOMPLETE","Fill required fields including RepairSkill and an answer. See Instructions.","Copy all columns with headers to the browser validator for full schema, assets and mode checks."))</x:f>
      </x:c>
      <x:c r="AE52" s="67" t="str">
        <x:f t="shared" si="3">IF(A52="","","https://masteryquests.org/tools/question-bank-validator/")</x:f>
      </x:c>
      <x:c r="AF52" s="60"/>
      <x:c r="AH52" s="60"/>
      <x:c r="AI52" s="60"/>
    </x:row>
    <x:row r="53" ht="45" customHeight="1">
      <x:c r="A53" s="15"/>
      <x:c r="B53" s="15"/>
      <x:c r="C53" s="15"/>
      <x:c r="D53" s="12"/>
      <x:c r="E53" s="12"/>
      <x:c r="F53" s="12"/>
      <x:c r="G53" s="12"/>
      <x:c r="H53" s="12"/>
      <x:c r="I53" s="15"/>
      <x:c r="J53" s="12"/>
      <x:c r="K53" s="12"/>
      <x:c r="L53" s="12"/>
      <x:c r="M53" s="12"/>
      <x:c r="N53" s="12"/>
      <x:c r="O53" s="13"/>
      <x:c r="P53" s="13"/>
      <x:c r="Q53" s="13"/>
      <x:c r="R53" s="13"/>
      <x:c r="S53" s="13"/>
      <x:c r="T53" s="13"/>
      <x:c r="U53" s="14"/>
      <x:c r="V53" s="14"/>
      <x:c r="W53" s="16"/>
      <x:c r="X53" s="16"/>
      <x:c r="Y53" s="14"/>
      <x:c r="Z53" s="66" t="str">
        <x:f t="shared" si="0">IF(A53="","",IF(MAX(LEN(E53),LEN(F53),LEN(G53),LEN(H53))&gt;2*MIN(LEN(E53),LEN(F53),LEN(G53),LEN(H53)),"Review answer lengths",""))</x:f>
      </x:c>
      <x:c r="AA53" s="66" t="str">
        <x:f t="shared" si="1">IF(A53="","",IF(COUNTIF($A$2:$A$301,A53)&gt;1,"Duplicate ID",IF(COUNTIF($D$2:$D$301,D53)&gt;1,"Review repeated text","")))</x:f>
      </x:c>
      <x:c r="AB53" s="66" t="str">
        <x:f t="shared" si="2">IF(A53="","","Unique string or number; no numeric range required")</x:f>
      </x:c>
      <x:c r="AC53" s="66" t="str">
        <x:f>IF(A53="","",IF(OR(B53="",D53="",E53="",F53="",G53="",H53="",J53="",K53="",L53="",M53="",O53="",P53="",AND(I53="",AG53=""),AND(B53&lt;&gt;"repair",B53&lt;&gt;"bridge",C53="")),"INCOMPLETE","CHECK ONLINE"))</x:f>
      </x:c>
      <x:c r="AD53" s="67" t="str">
        <x:f>IF(A53="","",IF(AC53="INCOMPLETE","Fill required fields including RepairSkill and an answer. See Instructions.","Copy all columns with headers to the browser validator for full schema, assets and mode checks."))</x:f>
      </x:c>
      <x:c r="AE53" s="67" t="str">
        <x:f t="shared" si="3">IF(A53="","","https://masteryquests.org/tools/question-bank-validator/")</x:f>
      </x:c>
      <x:c r="AF53" s="60"/>
      <x:c r="AH53" s="60"/>
      <x:c r="AI53" s="60"/>
    </x:row>
    <x:row r="54" ht="45" customHeight="1">
      <x:c r="A54" s="15"/>
      <x:c r="B54" s="15"/>
      <x:c r="C54" s="15"/>
      <x:c r="D54" s="12"/>
      <x:c r="E54" s="12"/>
      <x:c r="F54" s="12"/>
      <x:c r="G54" s="12"/>
      <x:c r="H54" s="12"/>
      <x:c r="I54" s="15"/>
      <x:c r="J54" s="12"/>
      <x:c r="K54" s="12"/>
      <x:c r="L54" s="12"/>
      <x:c r="M54" s="12"/>
      <x:c r="N54" s="12"/>
      <x:c r="O54" s="13"/>
      <x:c r="P54" s="13"/>
      <x:c r="Q54" s="13"/>
      <x:c r="R54" s="13"/>
      <x:c r="S54" s="13"/>
      <x:c r="T54" s="13"/>
      <x:c r="U54" s="14"/>
      <x:c r="V54" s="14"/>
      <x:c r="W54" s="16"/>
      <x:c r="X54" s="16"/>
      <x:c r="Y54" s="14"/>
      <x:c r="Z54" s="66" t="str">
        <x:f t="shared" si="0">IF(A54="","",IF(MAX(LEN(E54),LEN(F54),LEN(G54),LEN(H54))&gt;2*MIN(LEN(E54),LEN(F54),LEN(G54),LEN(H54)),"Review answer lengths",""))</x:f>
      </x:c>
      <x:c r="AA54" s="66" t="str">
        <x:f t="shared" si="1">IF(A54="","",IF(COUNTIF($A$2:$A$301,A54)&gt;1,"Duplicate ID",IF(COUNTIF($D$2:$D$301,D54)&gt;1,"Review repeated text","")))</x:f>
      </x:c>
      <x:c r="AB54" s="66" t="str">
        <x:f t="shared" si="2">IF(A54="","","Unique string or number; no numeric range required")</x:f>
      </x:c>
      <x:c r="AC54" s="66" t="str">
        <x:f>IF(A54="","",IF(OR(B54="",D54="",E54="",F54="",G54="",H54="",J54="",K54="",L54="",M54="",O54="",P54="",AND(I54="",AG54=""),AND(B54&lt;&gt;"repair",B54&lt;&gt;"bridge",C54="")),"INCOMPLETE","CHECK ONLINE"))</x:f>
      </x:c>
      <x:c r="AD54" s="67" t="str">
        <x:f>IF(A54="","",IF(AC54="INCOMPLETE","Fill required fields including RepairSkill and an answer. See Instructions.","Copy all columns with headers to the browser validator for full schema, assets and mode checks."))</x:f>
      </x:c>
      <x:c r="AE54" s="67" t="str">
        <x:f t="shared" si="3">IF(A54="","","https://masteryquests.org/tools/question-bank-validator/")</x:f>
      </x:c>
      <x:c r="AF54" s="60"/>
      <x:c r="AH54" s="60"/>
      <x:c r="AI54" s="60"/>
    </x:row>
    <x:row r="55" ht="45" customHeight="1">
      <x:c r="A55" s="15"/>
      <x:c r="B55" s="15"/>
      <x:c r="C55" s="15"/>
      <x:c r="D55" s="12"/>
      <x:c r="E55" s="12"/>
      <x:c r="F55" s="12"/>
      <x:c r="G55" s="12"/>
      <x:c r="H55" s="12"/>
      <x:c r="I55" s="15"/>
      <x:c r="J55" s="12"/>
      <x:c r="K55" s="12"/>
      <x:c r="L55" s="12"/>
      <x:c r="M55" s="12"/>
      <x:c r="N55" s="12"/>
      <x:c r="O55" s="13"/>
      <x:c r="P55" s="13"/>
      <x:c r="Q55" s="13"/>
      <x:c r="R55" s="13"/>
      <x:c r="S55" s="13"/>
      <x:c r="T55" s="13"/>
      <x:c r="U55" s="14"/>
      <x:c r="V55" s="14"/>
      <x:c r="W55" s="16"/>
      <x:c r="X55" s="16"/>
      <x:c r="Y55" s="14"/>
      <x:c r="Z55" s="66" t="str">
        <x:f t="shared" si="0">IF(A55="","",IF(MAX(LEN(E55),LEN(F55),LEN(G55),LEN(H55))&gt;2*MIN(LEN(E55),LEN(F55),LEN(G55),LEN(H55)),"Review answer lengths",""))</x:f>
      </x:c>
      <x:c r="AA55" s="66" t="str">
        <x:f t="shared" si="1">IF(A55="","",IF(COUNTIF($A$2:$A$301,A55)&gt;1,"Duplicate ID",IF(COUNTIF($D$2:$D$301,D55)&gt;1,"Review repeated text","")))</x:f>
      </x:c>
      <x:c r="AB55" s="66" t="str">
        <x:f t="shared" si="2">IF(A55="","","Unique string or number; no numeric range required")</x:f>
      </x:c>
      <x:c r="AC55" s="66" t="str">
        <x:f>IF(A55="","",IF(OR(B55="",D55="",E55="",F55="",G55="",H55="",J55="",K55="",L55="",M55="",O55="",P55="",AND(I55="",AG55=""),AND(B55&lt;&gt;"repair",B55&lt;&gt;"bridge",C55="")),"INCOMPLETE","CHECK ONLINE"))</x:f>
      </x:c>
      <x:c r="AD55" s="67" t="str">
        <x:f>IF(A55="","",IF(AC55="INCOMPLETE","Fill required fields including RepairSkill and an answer. See Instructions.","Copy all columns with headers to the browser validator for full schema, assets and mode checks."))</x:f>
      </x:c>
      <x:c r="AE55" s="67" t="str">
        <x:f t="shared" si="3">IF(A55="","","https://masteryquests.org/tools/question-bank-validator/")</x:f>
      </x:c>
      <x:c r="AF55" s="60"/>
      <x:c r="AH55" s="60"/>
      <x:c r="AI55" s="60"/>
    </x:row>
    <x:row r="56" ht="45" customHeight="1">
      <x:c r="A56" s="15"/>
      <x:c r="B56" s="15"/>
      <x:c r="C56" s="15"/>
      <x:c r="D56" s="12"/>
      <x:c r="E56" s="12"/>
      <x:c r="F56" s="12"/>
      <x:c r="G56" s="12"/>
      <x:c r="H56" s="12"/>
      <x:c r="I56" s="15"/>
      <x:c r="J56" s="12"/>
      <x:c r="K56" s="12"/>
      <x:c r="L56" s="12"/>
      <x:c r="M56" s="12"/>
      <x:c r="N56" s="12"/>
      <x:c r="O56" s="13"/>
      <x:c r="P56" s="13"/>
      <x:c r="Q56" s="13"/>
      <x:c r="R56" s="13"/>
      <x:c r="S56" s="13"/>
      <x:c r="T56" s="13"/>
      <x:c r="U56" s="14"/>
      <x:c r="V56" s="14"/>
      <x:c r="W56" s="16"/>
      <x:c r="X56" s="16"/>
      <x:c r="Y56" s="14"/>
      <x:c r="Z56" s="66" t="str">
        <x:f t="shared" si="0">IF(A56="","",IF(MAX(LEN(E56),LEN(F56),LEN(G56),LEN(H56))&gt;2*MIN(LEN(E56),LEN(F56),LEN(G56),LEN(H56)),"Review answer lengths",""))</x:f>
      </x:c>
      <x:c r="AA56" s="66" t="str">
        <x:f t="shared" si="1">IF(A56="","",IF(COUNTIF($A$2:$A$301,A56)&gt;1,"Duplicate ID",IF(COUNTIF($D$2:$D$301,D56)&gt;1,"Review repeated text","")))</x:f>
      </x:c>
      <x:c r="AB56" s="66" t="str">
        <x:f t="shared" si="2">IF(A56="","","Unique string or number; no numeric range required")</x:f>
      </x:c>
      <x:c r="AC56" s="66" t="str">
        <x:f>IF(A56="","",IF(OR(B56="",D56="",E56="",F56="",G56="",H56="",J56="",K56="",L56="",M56="",O56="",P56="",AND(I56="",AG56=""),AND(B56&lt;&gt;"repair",B56&lt;&gt;"bridge",C56="")),"INCOMPLETE","CHECK ONLINE"))</x:f>
      </x:c>
      <x:c r="AD56" s="67" t="str">
        <x:f>IF(A56="","",IF(AC56="INCOMPLETE","Fill required fields including RepairSkill and an answer. See Instructions.","Copy all columns with headers to the browser validator for full schema, assets and mode checks."))</x:f>
      </x:c>
      <x:c r="AE56" s="67" t="str">
        <x:f t="shared" si="3">IF(A56="","","https://masteryquests.org/tools/question-bank-validator/")</x:f>
      </x:c>
      <x:c r="AF56" s="60"/>
      <x:c r="AH56" s="60"/>
      <x:c r="AI56" s="60"/>
    </x:row>
    <x:row r="57" ht="45" customHeight="1">
      <x:c r="A57" s="15"/>
      <x:c r="B57" s="15"/>
      <x:c r="C57" s="15"/>
      <x:c r="D57" s="12"/>
      <x:c r="E57" s="12"/>
      <x:c r="F57" s="12"/>
      <x:c r="G57" s="12"/>
      <x:c r="H57" s="12"/>
      <x:c r="I57" s="15"/>
      <x:c r="J57" s="12"/>
      <x:c r="K57" s="12"/>
      <x:c r="L57" s="12"/>
      <x:c r="M57" s="12"/>
      <x:c r="N57" s="12"/>
      <x:c r="O57" s="13"/>
      <x:c r="P57" s="13"/>
      <x:c r="Q57" s="13"/>
      <x:c r="R57" s="13"/>
      <x:c r="S57" s="13"/>
      <x:c r="T57" s="13"/>
      <x:c r="U57" s="14"/>
      <x:c r="V57" s="14"/>
      <x:c r="W57" s="16"/>
      <x:c r="X57" s="16"/>
      <x:c r="Y57" s="14"/>
      <x:c r="Z57" s="66" t="str">
        <x:f t="shared" si="0">IF(A57="","",IF(MAX(LEN(E57),LEN(F57),LEN(G57),LEN(H57))&gt;2*MIN(LEN(E57),LEN(F57),LEN(G57),LEN(H57)),"Review answer lengths",""))</x:f>
      </x:c>
      <x:c r="AA57" s="66" t="str">
        <x:f t="shared" si="1">IF(A57="","",IF(COUNTIF($A$2:$A$301,A57)&gt;1,"Duplicate ID",IF(COUNTIF($D$2:$D$301,D57)&gt;1,"Review repeated text","")))</x:f>
      </x:c>
      <x:c r="AB57" s="66" t="str">
        <x:f t="shared" si="2">IF(A57="","","Unique string or number; no numeric range required")</x:f>
      </x:c>
      <x:c r="AC57" s="66" t="str">
        <x:f>IF(A57="","",IF(OR(B57="",D57="",E57="",F57="",G57="",H57="",J57="",K57="",L57="",M57="",O57="",P57="",AND(I57="",AG57=""),AND(B57&lt;&gt;"repair",B57&lt;&gt;"bridge",C57="")),"INCOMPLETE","CHECK ONLINE"))</x:f>
      </x:c>
      <x:c r="AD57" s="67" t="str">
        <x:f>IF(A57="","",IF(AC57="INCOMPLETE","Fill required fields including RepairSkill and an answer. See Instructions.","Copy all columns with headers to the browser validator for full schema, assets and mode checks."))</x:f>
      </x:c>
      <x:c r="AE57" s="67" t="str">
        <x:f t="shared" si="3">IF(A57="","","https://masteryquests.org/tools/question-bank-validator/")</x:f>
      </x:c>
      <x:c r="AF57" s="60"/>
      <x:c r="AH57" s="60"/>
      <x:c r="AI57" s="60"/>
    </x:row>
    <x:row r="58" ht="45" customHeight="1">
      <x:c r="A58" s="15"/>
      <x:c r="B58" s="15"/>
      <x:c r="C58" s="15"/>
      <x:c r="D58" s="12"/>
      <x:c r="E58" s="12"/>
      <x:c r="F58" s="12"/>
      <x:c r="G58" s="12"/>
      <x:c r="H58" s="12"/>
      <x:c r="I58" s="15"/>
      <x:c r="J58" s="12"/>
      <x:c r="K58" s="12"/>
      <x:c r="L58" s="12"/>
      <x:c r="M58" s="12"/>
      <x:c r="N58" s="12"/>
      <x:c r="O58" s="13"/>
      <x:c r="P58" s="13"/>
      <x:c r="Q58" s="13"/>
      <x:c r="R58" s="13"/>
      <x:c r="S58" s="13"/>
      <x:c r="T58" s="13"/>
      <x:c r="U58" s="14"/>
      <x:c r="V58" s="14"/>
      <x:c r="W58" s="16"/>
      <x:c r="X58" s="16"/>
      <x:c r="Y58" s="14"/>
      <x:c r="Z58" s="66" t="str">
        <x:f t="shared" si="0">IF(A58="","",IF(MAX(LEN(E58),LEN(F58),LEN(G58),LEN(H58))&gt;2*MIN(LEN(E58),LEN(F58),LEN(G58),LEN(H58)),"Review answer lengths",""))</x:f>
      </x:c>
      <x:c r="AA58" s="66" t="str">
        <x:f t="shared" si="1">IF(A58="","",IF(COUNTIF($A$2:$A$301,A58)&gt;1,"Duplicate ID",IF(COUNTIF($D$2:$D$301,D58)&gt;1,"Review repeated text","")))</x:f>
      </x:c>
      <x:c r="AB58" s="66" t="str">
        <x:f t="shared" si="2">IF(A58="","","Unique string or number; no numeric range required")</x:f>
      </x:c>
      <x:c r="AC58" s="66" t="str">
        <x:f>IF(A58="","",IF(OR(B58="",D58="",E58="",F58="",G58="",H58="",J58="",K58="",L58="",M58="",O58="",P58="",AND(I58="",AG58=""),AND(B58&lt;&gt;"repair",B58&lt;&gt;"bridge",C58="")),"INCOMPLETE","CHECK ONLINE"))</x:f>
      </x:c>
      <x:c r="AD58" s="67" t="str">
        <x:f>IF(A58="","",IF(AC58="INCOMPLETE","Fill required fields including RepairSkill and an answer. See Instructions.","Copy all columns with headers to the browser validator for full schema, assets and mode checks."))</x:f>
      </x:c>
      <x:c r="AE58" s="67" t="str">
        <x:f t="shared" si="3">IF(A58="","","https://masteryquests.org/tools/question-bank-validator/")</x:f>
      </x:c>
      <x:c r="AF58" s="60"/>
      <x:c r="AH58" s="60"/>
      <x:c r="AI58" s="60"/>
    </x:row>
    <x:row r="59" ht="45" customHeight="1">
      <x:c r="A59" s="15"/>
      <x:c r="B59" s="15"/>
      <x:c r="C59" s="15"/>
      <x:c r="D59" s="12"/>
      <x:c r="E59" s="12"/>
      <x:c r="F59" s="12"/>
      <x:c r="G59" s="12"/>
      <x:c r="H59" s="12"/>
      <x:c r="I59" s="15"/>
      <x:c r="J59" s="12"/>
      <x:c r="K59" s="12"/>
      <x:c r="L59" s="12"/>
      <x:c r="M59" s="12"/>
      <x:c r="N59" s="12"/>
      <x:c r="O59" s="13"/>
      <x:c r="P59" s="13"/>
      <x:c r="Q59" s="13"/>
      <x:c r="R59" s="13"/>
      <x:c r="S59" s="13"/>
      <x:c r="T59" s="13"/>
      <x:c r="U59" s="14"/>
      <x:c r="V59" s="14"/>
      <x:c r="W59" s="16"/>
      <x:c r="X59" s="16"/>
      <x:c r="Y59" s="14"/>
      <x:c r="Z59" s="66" t="str">
        <x:f t="shared" si="0">IF(A59="","",IF(MAX(LEN(E59),LEN(F59),LEN(G59),LEN(H59))&gt;2*MIN(LEN(E59),LEN(F59),LEN(G59),LEN(H59)),"Review answer lengths",""))</x:f>
      </x:c>
      <x:c r="AA59" s="66" t="str">
        <x:f t="shared" si="1">IF(A59="","",IF(COUNTIF($A$2:$A$301,A59)&gt;1,"Duplicate ID",IF(COUNTIF($D$2:$D$301,D59)&gt;1,"Review repeated text","")))</x:f>
      </x:c>
      <x:c r="AB59" s="66" t="str">
        <x:f t="shared" si="2">IF(A59="","","Unique string or number; no numeric range required")</x:f>
      </x:c>
      <x:c r="AC59" s="66" t="str">
        <x:f>IF(A59="","",IF(OR(B59="",D59="",E59="",F59="",G59="",H59="",J59="",K59="",L59="",M59="",O59="",P59="",AND(I59="",AG59=""),AND(B59&lt;&gt;"repair",B59&lt;&gt;"bridge",C59="")),"INCOMPLETE","CHECK ONLINE"))</x:f>
      </x:c>
      <x:c r="AD59" s="67" t="str">
        <x:f>IF(A59="","",IF(AC59="INCOMPLETE","Fill required fields including RepairSkill and an answer. See Instructions.","Copy all columns with headers to the browser validator for full schema, assets and mode checks."))</x:f>
      </x:c>
      <x:c r="AE59" s="67" t="str">
        <x:f t="shared" si="3">IF(A59="","","https://masteryquests.org/tools/question-bank-validator/")</x:f>
      </x:c>
      <x:c r="AF59" s="60"/>
      <x:c r="AH59" s="60"/>
      <x:c r="AI59" s="60"/>
    </x:row>
    <x:row r="60" ht="45" customHeight="1">
      <x:c r="A60" s="15"/>
      <x:c r="B60" s="15"/>
      <x:c r="C60" s="15"/>
      <x:c r="D60" s="12"/>
      <x:c r="E60" s="12"/>
      <x:c r="F60" s="12"/>
      <x:c r="G60" s="12"/>
      <x:c r="H60" s="12"/>
      <x:c r="I60" s="15"/>
      <x:c r="J60" s="12"/>
      <x:c r="K60" s="12"/>
      <x:c r="L60" s="12"/>
      <x:c r="M60" s="12"/>
      <x:c r="N60" s="12"/>
      <x:c r="O60" s="13"/>
      <x:c r="P60" s="13"/>
      <x:c r="Q60" s="13"/>
      <x:c r="R60" s="13"/>
      <x:c r="S60" s="13"/>
      <x:c r="T60" s="13"/>
      <x:c r="U60" s="14"/>
      <x:c r="V60" s="14"/>
      <x:c r="W60" s="16"/>
      <x:c r="X60" s="16"/>
      <x:c r="Y60" s="14"/>
      <x:c r="Z60" s="66" t="str">
        <x:f t="shared" si="0">IF(A60="","",IF(MAX(LEN(E60),LEN(F60),LEN(G60),LEN(H60))&gt;2*MIN(LEN(E60),LEN(F60),LEN(G60),LEN(H60)),"Review answer lengths",""))</x:f>
      </x:c>
      <x:c r="AA60" s="66" t="str">
        <x:f t="shared" si="1">IF(A60="","",IF(COUNTIF($A$2:$A$301,A60)&gt;1,"Duplicate ID",IF(COUNTIF($D$2:$D$301,D60)&gt;1,"Review repeated text","")))</x:f>
      </x:c>
      <x:c r="AB60" s="66" t="str">
        <x:f t="shared" si="2">IF(A60="","","Unique string or number; no numeric range required")</x:f>
      </x:c>
      <x:c r="AC60" s="66" t="str">
        <x:f>IF(A60="","",IF(OR(B60="",D60="",E60="",F60="",G60="",H60="",J60="",K60="",L60="",M60="",O60="",P60="",AND(I60="",AG60=""),AND(B60&lt;&gt;"repair",B60&lt;&gt;"bridge",C60="")),"INCOMPLETE","CHECK ONLINE"))</x:f>
      </x:c>
      <x:c r="AD60" s="67" t="str">
        <x:f>IF(A60="","",IF(AC60="INCOMPLETE","Fill required fields including RepairSkill and an answer. See Instructions.","Copy all columns with headers to the browser validator for full schema, assets and mode checks."))</x:f>
      </x:c>
      <x:c r="AE60" s="67" t="str">
        <x:f t="shared" si="3">IF(A60="","","https://masteryquests.org/tools/question-bank-validator/")</x:f>
      </x:c>
      <x:c r="AF60" s="60"/>
      <x:c r="AH60" s="60"/>
      <x:c r="AI60" s="60"/>
    </x:row>
    <x:row r="61" ht="45" customHeight="1">
      <x:c r="A61" s="15"/>
      <x:c r="B61" s="15"/>
      <x:c r="C61" s="15"/>
      <x:c r="D61" s="12"/>
      <x:c r="E61" s="12"/>
      <x:c r="F61" s="12"/>
      <x:c r="G61" s="12"/>
      <x:c r="H61" s="12"/>
      <x:c r="I61" s="15"/>
      <x:c r="J61" s="12"/>
      <x:c r="K61" s="12"/>
      <x:c r="L61" s="12"/>
      <x:c r="M61" s="12"/>
      <x:c r="N61" s="12"/>
      <x:c r="O61" s="13"/>
      <x:c r="P61" s="13"/>
      <x:c r="Q61" s="13"/>
      <x:c r="R61" s="13"/>
      <x:c r="S61" s="13"/>
      <x:c r="T61" s="13"/>
      <x:c r="U61" s="14"/>
      <x:c r="V61" s="14"/>
      <x:c r="W61" s="16"/>
      <x:c r="X61" s="16"/>
      <x:c r="Y61" s="14"/>
      <x:c r="Z61" s="66" t="str">
        <x:f t="shared" si="0">IF(A61="","",IF(MAX(LEN(E61),LEN(F61),LEN(G61),LEN(H61))&gt;2*MIN(LEN(E61),LEN(F61),LEN(G61),LEN(H61)),"Review answer lengths",""))</x:f>
      </x:c>
      <x:c r="AA61" s="66" t="str">
        <x:f t="shared" si="1">IF(A61="","",IF(COUNTIF($A$2:$A$301,A61)&gt;1,"Duplicate ID",IF(COUNTIF($D$2:$D$301,D61)&gt;1,"Review repeated text","")))</x:f>
      </x:c>
      <x:c r="AB61" s="66" t="str">
        <x:f t="shared" si="2">IF(A61="","","Unique string or number; no numeric range required")</x:f>
      </x:c>
      <x:c r="AC61" s="66" t="str">
        <x:f>IF(A61="","",IF(OR(B61="",D61="",E61="",F61="",G61="",H61="",J61="",K61="",L61="",M61="",O61="",P61="",AND(I61="",AG61=""),AND(B61&lt;&gt;"repair",B61&lt;&gt;"bridge",C61="")),"INCOMPLETE","CHECK ONLINE"))</x:f>
      </x:c>
      <x:c r="AD61" s="67" t="str">
        <x:f>IF(A61="","",IF(AC61="INCOMPLETE","Fill required fields including RepairSkill and an answer. See Instructions.","Copy all columns with headers to the browser validator for full schema, assets and mode checks."))</x:f>
      </x:c>
      <x:c r="AE61" s="67" t="str">
        <x:f t="shared" si="3">IF(A61="","","https://masteryquests.org/tools/question-bank-validator/")</x:f>
      </x:c>
      <x:c r="AF61" s="60"/>
      <x:c r="AH61" s="60"/>
      <x:c r="AI61" s="60"/>
    </x:row>
    <x:row r="62" ht="45" customHeight="1">
      <x:c r="A62" s="15"/>
      <x:c r="B62" s="15"/>
      <x:c r="C62" s="15"/>
      <x:c r="D62" s="12"/>
      <x:c r="E62" s="12"/>
      <x:c r="F62" s="12"/>
      <x:c r="G62" s="12"/>
      <x:c r="H62" s="12"/>
      <x:c r="I62" s="15"/>
      <x:c r="J62" s="12"/>
      <x:c r="K62" s="12"/>
      <x:c r="L62" s="12"/>
      <x:c r="M62" s="12"/>
      <x:c r="N62" s="12"/>
      <x:c r="O62" s="13"/>
      <x:c r="P62" s="13"/>
      <x:c r="Q62" s="13"/>
      <x:c r="R62" s="13"/>
      <x:c r="S62" s="13"/>
      <x:c r="T62" s="13"/>
      <x:c r="U62" s="14"/>
      <x:c r="V62" s="14"/>
      <x:c r="W62" s="16"/>
      <x:c r="X62" s="16"/>
      <x:c r="Y62" s="14"/>
      <x:c r="Z62" s="66" t="str">
        <x:f t="shared" si="0">IF(A62="","",IF(MAX(LEN(E62),LEN(F62),LEN(G62),LEN(H62))&gt;2*MIN(LEN(E62),LEN(F62),LEN(G62),LEN(H62)),"Review answer lengths",""))</x:f>
      </x:c>
      <x:c r="AA62" s="66" t="str">
        <x:f t="shared" si="1">IF(A62="","",IF(COUNTIF($A$2:$A$301,A62)&gt;1,"Duplicate ID",IF(COUNTIF($D$2:$D$301,D62)&gt;1,"Review repeated text","")))</x:f>
      </x:c>
      <x:c r="AB62" s="66" t="str">
        <x:f t="shared" si="2">IF(A62="","","Unique string or number; no numeric range required")</x:f>
      </x:c>
      <x:c r="AC62" s="66" t="str">
        <x:f>IF(A62="","",IF(OR(B62="",D62="",E62="",F62="",G62="",H62="",J62="",K62="",L62="",M62="",O62="",P62="",AND(I62="",AG62=""),AND(B62&lt;&gt;"repair",B62&lt;&gt;"bridge",C62="")),"INCOMPLETE","CHECK ONLINE"))</x:f>
      </x:c>
      <x:c r="AD62" s="67" t="str">
        <x:f>IF(A62="","",IF(AC62="INCOMPLETE","Fill required fields including RepairSkill and an answer. See Instructions.","Copy all columns with headers to the browser validator for full schema, assets and mode checks."))</x:f>
      </x:c>
      <x:c r="AE62" s="67" t="str">
        <x:f t="shared" si="3">IF(A62="","","https://masteryquests.org/tools/question-bank-validator/")</x:f>
      </x:c>
      <x:c r="AF62" s="60"/>
      <x:c r="AH62" s="60"/>
      <x:c r="AI62" s="60"/>
    </x:row>
    <x:row r="63" ht="45" customHeight="1">
      <x:c r="A63" s="15"/>
      <x:c r="B63" s="15"/>
      <x:c r="C63" s="15"/>
      <x:c r="D63" s="12"/>
      <x:c r="E63" s="12"/>
      <x:c r="F63" s="12"/>
      <x:c r="G63" s="12"/>
      <x:c r="H63" s="12"/>
      <x:c r="I63" s="15"/>
      <x:c r="J63" s="12"/>
      <x:c r="K63" s="12"/>
      <x:c r="L63" s="12"/>
      <x:c r="M63" s="12"/>
      <x:c r="N63" s="12"/>
      <x:c r="O63" s="13"/>
      <x:c r="P63" s="13"/>
      <x:c r="Q63" s="13"/>
      <x:c r="R63" s="13"/>
      <x:c r="S63" s="13"/>
      <x:c r="T63" s="13"/>
      <x:c r="U63" s="14"/>
      <x:c r="V63" s="14"/>
      <x:c r="W63" s="16"/>
      <x:c r="X63" s="16"/>
      <x:c r="Y63" s="14"/>
      <x:c r="Z63" s="66" t="str">
        <x:f t="shared" si="0">IF(A63="","",IF(MAX(LEN(E63),LEN(F63),LEN(G63),LEN(H63))&gt;2*MIN(LEN(E63),LEN(F63),LEN(G63),LEN(H63)),"Review answer lengths",""))</x:f>
      </x:c>
      <x:c r="AA63" s="66" t="str">
        <x:f t="shared" si="1">IF(A63="","",IF(COUNTIF($A$2:$A$301,A63)&gt;1,"Duplicate ID",IF(COUNTIF($D$2:$D$301,D63)&gt;1,"Review repeated text","")))</x:f>
      </x:c>
      <x:c r="AB63" s="66" t="str">
        <x:f t="shared" si="2">IF(A63="","","Unique string or number; no numeric range required")</x:f>
      </x:c>
      <x:c r="AC63" s="66" t="str">
        <x:f>IF(A63="","",IF(OR(B63="",D63="",E63="",F63="",G63="",H63="",J63="",K63="",L63="",M63="",O63="",P63="",AND(I63="",AG63=""),AND(B63&lt;&gt;"repair",B63&lt;&gt;"bridge",C63="")),"INCOMPLETE","CHECK ONLINE"))</x:f>
      </x:c>
      <x:c r="AD63" s="67" t="str">
        <x:f>IF(A63="","",IF(AC63="INCOMPLETE","Fill required fields including RepairSkill and an answer. See Instructions.","Copy all columns with headers to the browser validator for full schema, assets and mode checks."))</x:f>
      </x:c>
      <x:c r="AE63" s="67" t="str">
        <x:f t="shared" si="3">IF(A63="","","https://masteryquests.org/tools/question-bank-validator/")</x:f>
      </x:c>
      <x:c r="AF63" s="60"/>
      <x:c r="AH63" s="60"/>
      <x:c r="AI63" s="60"/>
    </x:row>
    <x:row r="64" ht="45" customHeight="1">
      <x:c r="A64" s="15"/>
      <x:c r="B64" s="15"/>
      <x:c r="C64" s="15"/>
      <x:c r="D64" s="12"/>
      <x:c r="E64" s="12"/>
      <x:c r="F64" s="12"/>
      <x:c r="G64" s="12"/>
      <x:c r="H64" s="12"/>
      <x:c r="I64" s="15"/>
      <x:c r="J64" s="12"/>
      <x:c r="K64" s="12"/>
      <x:c r="L64" s="12"/>
      <x:c r="M64" s="12"/>
      <x:c r="N64" s="12"/>
      <x:c r="O64" s="13"/>
      <x:c r="P64" s="13"/>
      <x:c r="Q64" s="13"/>
      <x:c r="R64" s="13"/>
      <x:c r="S64" s="13"/>
      <x:c r="T64" s="13"/>
      <x:c r="U64" s="14"/>
      <x:c r="V64" s="14"/>
      <x:c r="W64" s="16"/>
      <x:c r="X64" s="16"/>
      <x:c r="Y64" s="14"/>
      <x:c r="Z64" s="66" t="str">
        <x:f t="shared" si="0">IF(A64="","",IF(MAX(LEN(E64),LEN(F64),LEN(G64),LEN(H64))&gt;2*MIN(LEN(E64),LEN(F64),LEN(G64),LEN(H64)),"Review answer lengths",""))</x:f>
      </x:c>
      <x:c r="AA64" s="66" t="str">
        <x:f t="shared" si="1">IF(A64="","",IF(COUNTIF($A$2:$A$301,A64)&gt;1,"Duplicate ID",IF(COUNTIF($D$2:$D$301,D64)&gt;1,"Review repeated text","")))</x:f>
      </x:c>
      <x:c r="AB64" s="66" t="str">
        <x:f t="shared" si="2">IF(A64="","","Unique string or number; no numeric range required")</x:f>
      </x:c>
      <x:c r="AC64" s="66" t="str">
        <x:f>IF(A64="","",IF(OR(B64="",D64="",E64="",F64="",G64="",H64="",J64="",K64="",L64="",M64="",O64="",P64="",AND(I64="",AG64=""),AND(B64&lt;&gt;"repair",B64&lt;&gt;"bridge",C64="")),"INCOMPLETE","CHECK ONLINE"))</x:f>
      </x:c>
      <x:c r="AD64" s="67" t="str">
        <x:f>IF(A64="","",IF(AC64="INCOMPLETE","Fill required fields including RepairSkill and an answer. See Instructions.","Copy all columns with headers to the browser validator for full schema, assets and mode checks."))</x:f>
      </x:c>
      <x:c r="AE64" s="67" t="str">
        <x:f t="shared" si="3">IF(A64="","","https://masteryquests.org/tools/question-bank-validator/")</x:f>
      </x:c>
      <x:c r="AF64" s="60"/>
      <x:c r="AH64" s="60"/>
      <x:c r="AI64" s="60"/>
    </x:row>
    <x:row r="65" ht="45" customHeight="1">
      <x:c r="A65" s="15"/>
      <x:c r="B65" s="15"/>
      <x:c r="C65" s="15"/>
      <x:c r="D65" s="12"/>
      <x:c r="E65" s="12"/>
      <x:c r="F65" s="12"/>
      <x:c r="G65" s="12"/>
      <x:c r="H65" s="12"/>
      <x:c r="I65" s="15"/>
      <x:c r="J65" s="12"/>
      <x:c r="K65" s="12"/>
      <x:c r="L65" s="12"/>
      <x:c r="M65" s="12"/>
      <x:c r="N65" s="12"/>
      <x:c r="O65" s="13"/>
      <x:c r="P65" s="13"/>
      <x:c r="Q65" s="13"/>
      <x:c r="R65" s="13"/>
      <x:c r="S65" s="13"/>
      <x:c r="T65" s="13"/>
      <x:c r="U65" s="14"/>
      <x:c r="V65" s="14"/>
      <x:c r="W65" s="16"/>
      <x:c r="X65" s="16"/>
      <x:c r="Y65" s="14"/>
      <x:c r="Z65" s="66" t="str">
        <x:f t="shared" si="0">IF(A65="","",IF(MAX(LEN(E65),LEN(F65),LEN(G65),LEN(H65))&gt;2*MIN(LEN(E65),LEN(F65),LEN(G65),LEN(H65)),"Review answer lengths",""))</x:f>
      </x:c>
      <x:c r="AA65" s="66" t="str">
        <x:f t="shared" si="1">IF(A65="","",IF(COUNTIF($A$2:$A$301,A65)&gt;1,"Duplicate ID",IF(COUNTIF($D$2:$D$301,D65)&gt;1,"Review repeated text","")))</x:f>
      </x:c>
      <x:c r="AB65" s="66" t="str">
        <x:f t="shared" si="2">IF(A65="","","Unique string or number; no numeric range required")</x:f>
      </x:c>
      <x:c r="AC65" s="66" t="str">
        <x:f>IF(A65="","",IF(OR(B65="",D65="",E65="",F65="",G65="",H65="",J65="",K65="",L65="",M65="",O65="",P65="",AND(I65="",AG65=""),AND(B65&lt;&gt;"repair",B65&lt;&gt;"bridge",C65="")),"INCOMPLETE","CHECK ONLINE"))</x:f>
      </x:c>
      <x:c r="AD65" s="67" t="str">
        <x:f>IF(A65="","",IF(AC65="INCOMPLETE","Fill required fields including RepairSkill and an answer. See Instructions.","Copy all columns with headers to the browser validator for full schema, assets and mode checks."))</x:f>
      </x:c>
      <x:c r="AE65" s="67" t="str">
        <x:f t="shared" si="3">IF(A65="","","https://masteryquests.org/tools/question-bank-validator/")</x:f>
      </x:c>
      <x:c r="AF65" s="60"/>
      <x:c r="AH65" s="60"/>
      <x:c r="AI65" s="60"/>
    </x:row>
    <x:row r="66" ht="45" customHeight="1">
      <x:c r="A66" s="15"/>
      <x:c r="B66" s="15"/>
      <x:c r="C66" s="15"/>
      <x:c r="D66" s="12"/>
      <x:c r="E66" s="12"/>
      <x:c r="F66" s="12"/>
      <x:c r="G66" s="12"/>
      <x:c r="H66" s="12"/>
      <x:c r="I66" s="15"/>
      <x:c r="J66" s="12"/>
      <x:c r="K66" s="12"/>
      <x:c r="L66" s="12"/>
      <x:c r="M66" s="12"/>
      <x:c r="N66" s="12"/>
      <x:c r="O66" s="13"/>
      <x:c r="P66" s="13"/>
      <x:c r="Q66" s="13"/>
      <x:c r="R66" s="13"/>
      <x:c r="S66" s="13"/>
      <x:c r="T66" s="13"/>
      <x:c r="U66" s="14"/>
      <x:c r="V66" s="14"/>
      <x:c r="W66" s="16"/>
      <x:c r="X66" s="16"/>
      <x:c r="Y66" s="14"/>
      <x:c r="Z66" s="66" t="str">
        <x:f t="shared" ref="Z66:Z129" si="4">IF(A66="","",IF(MAX(LEN(E66),LEN(F66),LEN(G66),LEN(H66))&gt;2*MIN(LEN(E66),LEN(F66),LEN(G66),LEN(H66)),"Review answer lengths",""))</x:f>
      </x:c>
      <x:c r="AA66" s="66" t="str">
        <x:f t="shared" ref="AA66:AA129" si="5">IF(A66="","",IF(COUNTIF($A$2:$A$301,A66)&gt;1,"Duplicate ID",IF(COUNTIF($D$2:$D$301,D66)&gt;1,"Review repeated text","")))</x:f>
      </x:c>
      <x:c r="AB66" s="66" t="str">
        <x:f t="shared" ref="AB66:AB129" si="6">IF(A66="","","Unique string or number; no numeric range required")</x:f>
      </x:c>
      <x:c r="AC66" s="66" t="str">
        <x:f>IF(A66="","",IF(OR(B66="",D66="",E66="",F66="",G66="",H66="",J66="",K66="",L66="",M66="",O66="",P66="",AND(I66="",AG66=""),AND(B66&lt;&gt;"repair",B66&lt;&gt;"bridge",C66="")),"INCOMPLETE","CHECK ONLINE"))</x:f>
      </x:c>
      <x:c r="AD66" s="67" t="str">
        <x:f>IF(A66="","",IF(AC66="INCOMPLETE","Fill required fields including RepairSkill and an answer. See Instructions.","Copy all columns with headers to the browser validator for full schema, assets and mode checks."))</x:f>
      </x:c>
      <x:c r="AE66" s="67" t="str">
        <x:f t="shared" ref="AE66:AE129" si="7">IF(A66="","","https://masteryquests.org/tools/question-bank-validator/")</x:f>
      </x:c>
      <x:c r="AF66" s="60"/>
      <x:c r="AH66" s="60"/>
      <x:c r="AI66" s="60"/>
    </x:row>
    <x:row r="67" ht="45" customHeight="1">
      <x:c r="A67" s="15"/>
      <x:c r="B67" s="15"/>
      <x:c r="C67" s="15"/>
      <x:c r="D67" s="12"/>
      <x:c r="E67" s="12"/>
      <x:c r="F67" s="12"/>
      <x:c r="G67" s="12"/>
      <x:c r="H67" s="12"/>
      <x:c r="I67" s="15"/>
      <x:c r="J67" s="12"/>
      <x:c r="K67" s="12"/>
      <x:c r="L67" s="12"/>
      <x:c r="M67" s="12"/>
      <x:c r="N67" s="12"/>
      <x:c r="O67" s="13"/>
      <x:c r="P67" s="13"/>
      <x:c r="Q67" s="13"/>
      <x:c r="R67" s="13"/>
      <x:c r="S67" s="13"/>
      <x:c r="T67" s="13"/>
      <x:c r="U67" s="14"/>
      <x:c r="V67" s="14"/>
      <x:c r="W67" s="16"/>
      <x:c r="X67" s="16"/>
      <x:c r="Y67" s="14"/>
      <x:c r="Z67" s="66" t="str">
        <x:f t="shared" si="4">IF(A67="","",IF(MAX(LEN(E67),LEN(F67),LEN(G67),LEN(H67))&gt;2*MIN(LEN(E67),LEN(F67),LEN(G67),LEN(H67)),"Review answer lengths",""))</x:f>
      </x:c>
      <x:c r="AA67" s="66" t="str">
        <x:f t="shared" si="5">IF(A67="","",IF(COUNTIF($A$2:$A$301,A67)&gt;1,"Duplicate ID",IF(COUNTIF($D$2:$D$301,D67)&gt;1,"Review repeated text","")))</x:f>
      </x:c>
      <x:c r="AB67" s="66" t="str">
        <x:f t="shared" si="6">IF(A67="","","Unique string or number; no numeric range required")</x:f>
      </x:c>
      <x:c r="AC67" s="66" t="str">
        <x:f>IF(A67="","",IF(OR(B67="",D67="",E67="",F67="",G67="",H67="",J67="",K67="",L67="",M67="",O67="",P67="",AND(I67="",AG67=""),AND(B67&lt;&gt;"repair",B67&lt;&gt;"bridge",C67="")),"INCOMPLETE","CHECK ONLINE"))</x:f>
      </x:c>
      <x:c r="AD67" s="67" t="str">
        <x:f>IF(A67="","",IF(AC67="INCOMPLETE","Fill required fields including RepairSkill and an answer. See Instructions.","Copy all columns with headers to the browser validator for full schema, assets and mode checks."))</x:f>
      </x:c>
      <x:c r="AE67" s="67" t="str">
        <x:f t="shared" si="7">IF(A67="","","https://masteryquests.org/tools/question-bank-validator/")</x:f>
      </x:c>
      <x:c r="AF67" s="60"/>
      <x:c r="AH67" s="60"/>
      <x:c r="AI67" s="60"/>
    </x:row>
    <x:row r="68" ht="45" customHeight="1">
      <x:c r="A68" s="15"/>
      <x:c r="B68" s="15"/>
      <x:c r="C68" s="15"/>
      <x:c r="D68" s="12"/>
      <x:c r="E68" s="12"/>
      <x:c r="F68" s="12"/>
      <x:c r="G68" s="12"/>
      <x:c r="H68" s="12"/>
      <x:c r="I68" s="15"/>
      <x:c r="J68" s="12"/>
      <x:c r="K68" s="12"/>
      <x:c r="L68" s="12"/>
      <x:c r="M68" s="12"/>
      <x:c r="N68" s="12"/>
      <x:c r="O68" s="13"/>
      <x:c r="P68" s="13"/>
      <x:c r="Q68" s="13"/>
      <x:c r="R68" s="13"/>
      <x:c r="S68" s="13"/>
      <x:c r="T68" s="13"/>
      <x:c r="U68" s="14"/>
      <x:c r="V68" s="14"/>
      <x:c r="W68" s="16"/>
      <x:c r="X68" s="16"/>
      <x:c r="Y68" s="14"/>
      <x:c r="Z68" s="66" t="str">
        <x:f t="shared" si="4">IF(A68="","",IF(MAX(LEN(E68),LEN(F68),LEN(G68),LEN(H68))&gt;2*MIN(LEN(E68),LEN(F68),LEN(G68),LEN(H68)),"Review answer lengths",""))</x:f>
      </x:c>
      <x:c r="AA68" s="66" t="str">
        <x:f t="shared" si="5">IF(A68="","",IF(COUNTIF($A$2:$A$301,A68)&gt;1,"Duplicate ID",IF(COUNTIF($D$2:$D$301,D68)&gt;1,"Review repeated text","")))</x:f>
      </x:c>
      <x:c r="AB68" s="66" t="str">
        <x:f t="shared" si="6">IF(A68="","","Unique string or number; no numeric range required")</x:f>
      </x:c>
      <x:c r="AC68" s="66" t="str">
        <x:f>IF(A68="","",IF(OR(B68="",D68="",E68="",F68="",G68="",H68="",J68="",K68="",L68="",M68="",O68="",P68="",AND(I68="",AG68=""),AND(B68&lt;&gt;"repair",B68&lt;&gt;"bridge",C68="")),"INCOMPLETE","CHECK ONLINE"))</x:f>
      </x:c>
      <x:c r="AD68" s="67" t="str">
        <x:f>IF(A68="","",IF(AC68="INCOMPLETE","Fill required fields including RepairSkill and an answer. See Instructions.","Copy all columns with headers to the browser validator for full schema, assets and mode checks."))</x:f>
      </x:c>
      <x:c r="AE68" s="67" t="str">
        <x:f t="shared" si="7">IF(A68="","","https://masteryquests.org/tools/question-bank-validator/")</x:f>
      </x:c>
      <x:c r="AF68" s="60"/>
      <x:c r="AH68" s="60"/>
      <x:c r="AI68" s="60"/>
    </x:row>
    <x:row r="69" ht="45" customHeight="1">
      <x:c r="A69" s="15"/>
      <x:c r="B69" s="15"/>
      <x:c r="C69" s="15"/>
      <x:c r="D69" s="12"/>
      <x:c r="E69" s="12"/>
      <x:c r="F69" s="12"/>
      <x:c r="G69" s="12"/>
      <x:c r="H69" s="12"/>
      <x:c r="I69" s="15"/>
      <x:c r="J69" s="12"/>
      <x:c r="K69" s="12"/>
      <x:c r="L69" s="12"/>
      <x:c r="M69" s="12"/>
      <x:c r="N69" s="12"/>
      <x:c r="O69" s="13"/>
      <x:c r="P69" s="13"/>
      <x:c r="Q69" s="13"/>
      <x:c r="R69" s="13"/>
      <x:c r="S69" s="13"/>
      <x:c r="T69" s="13"/>
      <x:c r="U69" s="14"/>
      <x:c r="V69" s="14"/>
      <x:c r="W69" s="16"/>
      <x:c r="X69" s="16"/>
      <x:c r="Y69" s="14"/>
      <x:c r="Z69" s="66" t="str">
        <x:f t="shared" si="4">IF(A69="","",IF(MAX(LEN(E69),LEN(F69),LEN(G69),LEN(H69))&gt;2*MIN(LEN(E69),LEN(F69),LEN(G69),LEN(H69)),"Review answer lengths",""))</x:f>
      </x:c>
      <x:c r="AA69" s="66" t="str">
        <x:f t="shared" si="5">IF(A69="","",IF(COUNTIF($A$2:$A$301,A69)&gt;1,"Duplicate ID",IF(COUNTIF($D$2:$D$301,D69)&gt;1,"Review repeated text","")))</x:f>
      </x:c>
      <x:c r="AB69" s="66" t="str">
        <x:f t="shared" si="6">IF(A69="","","Unique string or number; no numeric range required")</x:f>
      </x:c>
      <x:c r="AC69" s="66" t="str">
        <x:f>IF(A69="","",IF(OR(B69="",D69="",E69="",F69="",G69="",H69="",J69="",K69="",L69="",M69="",O69="",P69="",AND(I69="",AG69=""),AND(B69&lt;&gt;"repair",B69&lt;&gt;"bridge",C69="")),"INCOMPLETE","CHECK ONLINE"))</x:f>
      </x:c>
      <x:c r="AD69" s="67" t="str">
        <x:f>IF(A69="","",IF(AC69="INCOMPLETE","Fill required fields including RepairSkill and an answer. See Instructions.","Copy all columns with headers to the browser validator for full schema, assets and mode checks."))</x:f>
      </x:c>
      <x:c r="AE69" s="67" t="str">
        <x:f t="shared" si="7">IF(A69="","","https://masteryquests.org/tools/question-bank-validator/")</x:f>
      </x:c>
      <x:c r="AF69" s="60"/>
      <x:c r="AH69" s="60"/>
      <x:c r="AI69" s="60"/>
    </x:row>
    <x:row r="70" ht="45" customHeight="1">
      <x:c r="A70" s="15"/>
      <x:c r="B70" s="15"/>
      <x:c r="C70" s="15"/>
      <x:c r="D70" s="12"/>
      <x:c r="E70" s="12"/>
      <x:c r="F70" s="12"/>
      <x:c r="G70" s="12"/>
      <x:c r="H70" s="12"/>
      <x:c r="I70" s="15"/>
      <x:c r="J70" s="12"/>
      <x:c r="K70" s="12"/>
      <x:c r="L70" s="12"/>
      <x:c r="M70" s="12"/>
      <x:c r="N70" s="12"/>
      <x:c r="O70" s="13"/>
      <x:c r="P70" s="13"/>
      <x:c r="Q70" s="13"/>
      <x:c r="R70" s="13"/>
      <x:c r="S70" s="13"/>
      <x:c r="T70" s="13"/>
      <x:c r="U70" s="14"/>
      <x:c r="V70" s="14"/>
      <x:c r="W70" s="16"/>
      <x:c r="X70" s="16"/>
      <x:c r="Y70" s="14"/>
      <x:c r="Z70" s="66" t="str">
        <x:f t="shared" si="4">IF(A70="","",IF(MAX(LEN(E70),LEN(F70),LEN(G70),LEN(H70))&gt;2*MIN(LEN(E70),LEN(F70),LEN(G70),LEN(H70)),"Review answer lengths",""))</x:f>
      </x:c>
      <x:c r="AA70" s="66" t="str">
        <x:f t="shared" si="5">IF(A70="","",IF(COUNTIF($A$2:$A$301,A70)&gt;1,"Duplicate ID",IF(COUNTIF($D$2:$D$301,D70)&gt;1,"Review repeated text","")))</x:f>
      </x:c>
      <x:c r="AB70" s="66" t="str">
        <x:f t="shared" si="6">IF(A70="","","Unique string or number; no numeric range required")</x:f>
      </x:c>
      <x:c r="AC70" s="66" t="str">
        <x:f>IF(A70="","",IF(OR(B70="",D70="",E70="",F70="",G70="",H70="",J70="",K70="",L70="",M70="",O70="",P70="",AND(I70="",AG70=""),AND(B70&lt;&gt;"repair",B70&lt;&gt;"bridge",C70="")),"INCOMPLETE","CHECK ONLINE"))</x:f>
      </x:c>
      <x:c r="AD70" s="67" t="str">
        <x:f>IF(A70="","",IF(AC70="INCOMPLETE","Fill required fields including RepairSkill and an answer. See Instructions.","Copy all columns with headers to the browser validator for full schema, assets and mode checks."))</x:f>
      </x:c>
      <x:c r="AE70" s="67" t="str">
        <x:f t="shared" si="7">IF(A70="","","https://masteryquests.org/tools/question-bank-validator/")</x:f>
      </x:c>
      <x:c r="AF70" s="60"/>
      <x:c r="AH70" s="60"/>
      <x:c r="AI70" s="60"/>
    </x:row>
    <x:row r="71" ht="45" customHeight="1">
      <x:c r="A71" s="15"/>
      <x:c r="B71" s="15"/>
      <x:c r="C71" s="15"/>
      <x:c r="D71" s="12"/>
      <x:c r="E71" s="12"/>
      <x:c r="F71" s="12"/>
      <x:c r="G71" s="12"/>
      <x:c r="H71" s="12"/>
      <x:c r="I71" s="15"/>
      <x:c r="J71" s="12"/>
      <x:c r="K71" s="12"/>
      <x:c r="L71" s="12"/>
      <x:c r="M71" s="12"/>
      <x:c r="N71" s="12"/>
      <x:c r="O71" s="13"/>
      <x:c r="P71" s="13"/>
      <x:c r="Q71" s="13"/>
      <x:c r="R71" s="13"/>
      <x:c r="S71" s="13"/>
      <x:c r="T71" s="13"/>
      <x:c r="U71" s="14"/>
      <x:c r="V71" s="14"/>
      <x:c r="W71" s="16"/>
      <x:c r="X71" s="16"/>
      <x:c r="Y71" s="14"/>
      <x:c r="Z71" s="66" t="str">
        <x:f t="shared" si="4">IF(A71="","",IF(MAX(LEN(E71),LEN(F71),LEN(G71),LEN(H71))&gt;2*MIN(LEN(E71),LEN(F71),LEN(G71),LEN(H71)),"Review answer lengths",""))</x:f>
      </x:c>
      <x:c r="AA71" s="66" t="str">
        <x:f t="shared" si="5">IF(A71="","",IF(COUNTIF($A$2:$A$301,A71)&gt;1,"Duplicate ID",IF(COUNTIF($D$2:$D$301,D71)&gt;1,"Review repeated text","")))</x:f>
      </x:c>
      <x:c r="AB71" s="66" t="str">
        <x:f t="shared" si="6">IF(A71="","","Unique string or number; no numeric range required")</x:f>
      </x:c>
      <x:c r="AC71" s="66" t="str">
        <x:f>IF(A71="","",IF(OR(B71="",D71="",E71="",F71="",G71="",H71="",J71="",K71="",L71="",M71="",O71="",P71="",AND(I71="",AG71=""),AND(B71&lt;&gt;"repair",B71&lt;&gt;"bridge",C71="")),"INCOMPLETE","CHECK ONLINE"))</x:f>
      </x:c>
      <x:c r="AD71" s="67" t="str">
        <x:f>IF(A71="","",IF(AC71="INCOMPLETE","Fill required fields including RepairSkill and an answer. See Instructions.","Copy all columns with headers to the browser validator for full schema, assets and mode checks."))</x:f>
      </x:c>
      <x:c r="AE71" s="67" t="str">
        <x:f t="shared" si="7">IF(A71="","","https://masteryquests.org/tools/question-bank-validator/")</x:f>
      </x:c>
      <x:c r="AF71" s="60"/>
      <x:c r="AH71" s="60"/>
      <x:c r="AI71" s="60"/>
    </x:row>
    <x:row r="72" ht="45" customHeight="1">
      <x:c r="A72" s="15"/>
      <x:c r="B72" s="15"/>
      <x:c r="C72" s="15"/>
      <x:c r="D72" s="12"/>
      <x:c r="E72" s="12"/>
      <x:c r="F72" s="12"/>
      <x:c r="G72" s="12"/>
      <x:c r="H72" s="12"/>
      <x:c r="I72" s="15"/>
      <x:c r="J72" s="12"/>
      <x:c r="K72" s="12"/>
      <x:c r="L72" s="12"/>
      <x:c r="M72" s="12"/>
      <x:c r="N72" s="12"/>
      <x:c r="O72" s="13"/>
      <x:c r="P72" s="13"/>
      <x:c r="Q72" s="13"/>
      <x:c r="R72" s="13"/>
      <x:c r="S72" s="13"/>
      <x:c r="T72" s="13"/>
      <x:c r="U72" s="14"/>
      <x:c r="V72" s="14"/>
      <x:c r="W72" s="16"/>
      <x:c r="X72" s="16"/>
      <x:c r="Y72" s="14"/>
      <x:c r="Z72" s="66" t="str">
        <x:f t="shared" si="4">IF(A72="","",IF(MAX(LEN(E72),LEN(F72),LEN(G72),LEN(H72))&gt;2*MIN(LEN(E72),LEN(F72),LEN(G72),LEN(H72)),"Review answer lengths",""))</x:f>
      </x:c>
      <x:c r="AA72" s="66" t="str">
        <x:f t="shared" si="5">IF(A72="","",IF(COUNTIF($A$2:$A$301,A72)&gt;1,"Duplicate ID",IF(COUNTIF($D$2:$D$301,D72)&gt;1,"Review repeated text","")))</x:f>
      </x:c>
      <x:c r="AB72" s="66" t="str">
        <x:f t="shared" si="6">IF(A72="","","Unique string or number; no numeric range required")</x:f>
      </x:c>
      <x:c r="AC72" s="66" t="str">
        <x:f>IF(A72="","",IF(OR(B72="",D72="",E72="",F72="",G72="",H72="",J72="",K72="",L72="",M72="",O72="",P72="",AND(I72="",AG72=""),AND(B72&lt;&gt;"repair",B72&lt;&gt;"bridge",C72="")),"INCOMPLETE","CHECK ONLINE"))</x:f>
      </x:c>
      <x:c r="AD72" s="67" t="str">
        <x:f>IF(A72="","",IF(AC72="INCOMPLETE","Fill required fields including RepairSkill and an answer. See Instructions.","Copy all columns with headers to the browser validator for full schema, assets and mode checks."))</x:f>
      </x:c>
      <x:c r="AE72" s="67" t="str">
        <x:f t="shared" si="7">IF(A72="","","https://masteryquests.org/tools/question-bank-validator/")</x:f>
      </x:c>
      <x:c r="AF72" s="60"/>
      <x:c r="AH72" s="60"/>
      <x:c r="AI72" s="60"/>
    </x:row>
    <x:row r="73" ht="45" customHeight="1">
      <x:c r="A73" s="15"/>
      <x:c r="B73" s="15"/>
      <x:c r="C73" s="15"/>
      <x:c r="D73" s="12"/>
      <x:c r="E73" s="12"/>
      <x:c r="F73" s="12"/>
      <x:c r="G73" s="12"/>
      <x:c r="H73" s="12"/>
      <x:c r="I73" s="15"/>
      <x:c r="J73" s="12"/>
      <x:c r="K73" s="12"/>
      <x:c r="L73" s="12"/>
      <x:c r="M73" s="12"/>
      <x:c r="N73" s="12"/>
      <x:c r="O73" s="13"/>
      <x:c r="P73" s="13"/>
      <x:c r="Q73" s="13"/>
      <x:c r="R73" s="13"/>
      <x:c r="S73" s="13"/>
      <x:c r="T73" s="13"/>
      <x:c r="U73" s="14"/>
      <x:c r="V73" s="14"/>
      <x:c r="W73" s="16"/>
      <x:c r="X73" s="16"/>
      <x:c r="Y73" s="14"/>
      <x:c r="Z73" s="66" t="str">
        <x:f t="shared" si="4">IF(A73="","",IF(MAX(LEN(E73),LEN(F73),LEN(G73),LEN(H73))&gt;2*MIN(LEN(E73),LEN(F73),LEN(G73),LEN(H73)),"Review answer lengths",""))</x:f>
      </x:c>
      <x:c r="AA73" s="66" t="str">
        <x:f t="shared" si="5">IF(A73="","",IF(COUNTIF($A$2:$A$301,A73)&gt;1,"Duplicate ID",IF(COUNTIF($D$2:$D$301,D73)&gt;1,"Review repeated text","")))</x:f>
      </x:c>
      <x:c r="AB73" s="66" t="str">
        <x:f t="shared" si="6">IF(A73="","","Unique string or number; no numeric range required")</x:f>
      </x:c>
      <x:c r="AC73" s="66" t="str">
        <x:f>IF(A73="","",IF(OR(B73="",D73="",E73="",F73="",G73="",H73="",J73="",K73="",L73="",M73="",O73="",P73="",AND(I73="",AG73=""),AND(B73&lt;&gt;"repair",B73&lt;&gt;"bridge",C73="")),"INCOMPLETE","CHECK ONLINE"))</x:f>
      </x:c>
      <x:c r="AD73" s="67" t="str">
        <x:f>IF(A73="","",IF(AC73="INCOMPLETE","Fill required fields including RepairSkill and an answer. See Instructions.","Copy all columns with headers to the browser validator for full schema, assets and mode checks."))</x:f>
      </x:c>
      <x:c r="AE73" s="67" t="str">
        <x:f t="shared" si="7">IF(A73="","","https://masteryquests.org/tools/question-bank-validator/")</x:f>
      </x:c>
      <x:c r="AF73" s="60"/>
      <x:c r="AH73" s="60"/>
      <x:c r="AI73" s="60"/>
    </x:row>
    <x:row r="74" ht="45" customHeight="1">
      <x:c r="A74" s="15"/>
      <x:c r="B74" s="15"/>
      <x:c r="C74" s="15"/>
      <x:c r="D74" s="12"/>
      <x:c r="E74" s="12"/>
      <x:c r="F74" s="12"/>
      <x:c r="G74" s="12"/>
      <x:c r="H74" s="12"/>
      <x:c r="I74" s="15"/>
      <x:c r="J74" s="12"/>
      <x:c r="K74" s="12"/>
      <x:c r="L74" s="12"/>
      <x:c r="M74" s="12"/>
      <x:c r="N74" s="12"/>
      <x:c r="O74" s="13"/>
      <x:c r="P74" s="13"/>
      <x:c r="Q74" s="13"/>
      <x:c r="R74" s="13"/>
      <x:c r="S74" s="13"/>
      <x:c r="T74" s="13"/>
      <x:c r="U74" s="14"/>
      <x:c r="V74" s="14"/>
      <x:c r="W74" s="16"/>
      <x:c r="X74" s="16"/>
      <x:c r="Y74" s="14"/>
      <x:c r="Z74" s="66" t="str">
        <x:f t="shared" si="4">IF(A74="","",IF(MAX(LEN(E74),LEN(F74),LEN(G74),LEN(H74))&gt;2*MIN(LEN(E74),LEN(F74),LEN(G74),LEN(H74)),"Review answer lengths",""))</x:f>
      </x:c>
      <x:c r="AA74" s="66" t="str">
        <x:f t="shared" si="5">IF(A74="","",IF(COUNTIF($A$2:$A$301,A74)&gt;1,"Duplicate ID",IF(COUNTIF($D$2:$D$301,D74)&gt;1,"Review repeated text","")))</x:f>
      </x:c>
      <x:c r="AB74" s="66" t="str">
        <x:f t="shared" si="6">IF(A74="","","Unique string or number; no numeric range required")</x:f>
      </x:c>
      <x:c r="AC74" s="66" t="str">
        <x:f>IF(A74="","",IF(OR(B74="",D74="",E74="",F74="",G74="",H74="",J74="",K74="",L74="",M74="",O74="",P74="",AND(I74="",AG74=""),AND(B74&lt;&gt;"repair",B74&lt;&gt;"bridge",C74="")),"INCOMPLETE","CHECK ONLINE"))</x:f>
      </x:c>
      <x:c r="AD74" s="67" t="str">
        <x:f>IF(A74="","",IF(AC74="INCOMPLETE","Fill required fields including RepairSkill and an answer. See Instructions.","Copy all columns with headers to the browser validator for full schema, assets and mode checks."))</x:f>
      </x:c>
      <x:c r="AE74" s="67" t="str">
        <x:f t="shared" si="7">IF(A74="","","https://masteryquests.org/tools/question-bank-validator/")</x:f>
      </x:c>
      <x:c r="AF74" s="60"/>
      <x:c r="AH74" s="60"/>
      <x:c r="AI74" s="60"/>
    </x:row>
    <x:row r="75" ht="45" customHeight="1">
      <x:c r="A75" s="15"/>
      <x:c r="B75" s="15"/>
      <x:c r="C75" s="15"/>
      <x:c r="D75" s="12"/>
      <x:c r="E75" s="12"/>
      <x:c r="F75" s="12"/>
      <x:c r="G75" s="12"/>
      <x:c r="H75" s="12"/>
      <x:c r="I75" s="15"/>
      <x:c r="J75" s="12"/>
      <x:c r="K75" s="12"/>
      <x:c r="L75" s="12"/>
      <x:c r="M75" s="12"/>
      <x:c r="N75" s="12"/>
      <x:c r="O75" s="13"/>
      <x:c r="P75" s="13"/>
      <x:c r="Q75" s="13"/>
      <x:c r="R75" s="13"/>
      <x:c r="S75" s="13"/>
      <x:c r="T75" s="13"/>
      <x:c r="U75" s="14"/>
      <x:c r="V75" s="14"/>
      <x:c r="W75" s="16"/>
      <x:c r="X75" s="16"/>
      <x:c r="Y75" s="14"/>
      <x:c r="Z75" s="66" t="str">
        <x:f t="shared" si="4">IF(A75="","",IF(MAX(LEN(E75),LEN(F75),LEN(G75),LEN(H75))&gt;2*MIN(LEN(E75),LEN(F75),LEN(G75),LEN(H75)),"Review answer lengths",""))</x:f>
      </x:c>
      <x:c r="AA75" s="66" t="str">
        <x:f t="shared" si="5">IF(A75="","",IF(COUNTIF($A$2:$A$301,A75)&gt;1,"Duplicate ID",IF(COUNTIF($D$2:$D$301,D75)&gt;1,"Review repeated text","")))</x:f>
      </x:c>
      <x:c r="AB75" s="66" t="str">
        <x:f t="shared" si="6">IF(A75="","","Unique string or number; no numeric range required")</x:f>
      </x:c>
      <x:c r="AC75" s="66" t="str">
        <x:f>IF(A75="","",IF(OR(B75="",D75="",E75="",F75="",G75="",H75="",J75="",K75="",L75="",M75="",O75="",P75="",AND(I75="",AG75=""),AND(B75&lt;&gt;"repair",B75&lt;&gt;"bridge",C75="")),"INCOMPLETE","CHECK ONLINE"))</x:f>
      </x:c>
      <x:c r="AD75" s="67" t="str">
        <x:f>IF(A75="","",IF(AC75="INCOMPLETE","Fill required fields including RepairSkill and an answer. See Instructions.","Copy all columns with headers to the browser validator for full schema, assets and mode checks."))</x:f>
      </x:c>
      <x:c r="AE75" s="67" t="str">
        <x:f t="shared" si="7">IF(A75="","","https://masteryquests.org/tools/question-bank-validator/")</x:f>
      </x:c>
      <x:c r="AF75" s="60"/>
      <x:c r="AH75" s="60"/>
      <x:c r="AI75" s="60"/>
    </x:row>
    <x:row r="76" ht="45" customHeight="1">
      <x:c r="A76" s="15"/>
      <x:c r="B76" s="15"/>
      <x:c r="C76" s="15"/>
      <x:c r="D76" s="12"/>
      <x:c r="E76" s="12"/>
      <x:c r="F76" s="12"/>
      <x:c r="G76" s="12"/>
      <x:c r="H76" s="12"/>
      <x:c r="I76" s="15"/>
      <x:c r="J76" s="12"/>
      <x:c r="K76" s="12"/>
      <x:c r="L76" s="12"/>
      <x:c r="M76" s="12"/>
      <x:c r="N76" s="12"/>
      <x:c r="O76" s="13"/>
      <x:c r="P76" s="13"/>
      <x:c r="Q76" s="13"/>
      <x:c r="R76" s="13"/>
      <x:c r="S76" s="13"/>
      <x:c r="T76" s="13"/>
      <x:c r="U76" s="14"/>
      <x:c r="V76" s="14"/>
      <x:c r="W76" s="16"/>
      <x:c r="X76" s="16"/>
      <x:c r="Y76" s="14"/>
      <x:c r="Z76" s="66" t="str">
        <x:f t="shared" si="4">IF(A76="","",IF(MAX(LEN(E76),LEN(F76),LEN(G76),LEN(H76))&gt;2*MIN(LEN(E76),LEN(F76),LEN(G76),LEN(H76)),"Review answer lengths",""))</x:f>
      </x:c>
      <x:c r="AA76" s="66" t="str">
        <x:f t="shared" si="5">IF(A76="","",IF(COUNTIF($A$2:$A$301,A76)&gt;1,"Duplicate ID",IF(COUNTIF($D$2:$D$301,D76)&gt;1,"Review repeated text","")))</x:f>
      </x:c>
      <x:c r="AB76" s="66" t="str">
        <x:f t="shared" si="6">IF(A76="","","Unique string or number; no numeric range required")</x:f>
      </x:c>
      <x:c r="AC76" s="66" t="str">
        <x:f>IF(A76="","",IF(OR(B76="",D76="",E76="",F76="",G76="",H76="",J76="",K76="",L76="",M76="",O76="",P76="",AND(I76="",AG76=""),AND(B76&lt;&gt;"repair",B76&lt;&gt;"bridge",C76="")),"INCOMPLETE","CHECK ONLINE"))</x:f>
      </x:c>
      <x:c r="AD76" s="67" t="str">
        <x:f>IF(A76="","",IF(AC76="INCOMPLETE","Fill required fields including RepairSkill and an answer. See Instructions.","Copy all columns with headers to the browser validator for full schema, assets and mode checks."))</x:f>
      </x:c>
      <x:c r="AE76" s="67" t="str">
        <x:f t="shared" si="7">IF(A76="","","https://masteryquests.org/tools/question-bank-validator/")</x:f>
      </x:c>
      <x:c r="AF76" s="60"/>
      <x:c r="AH76" s="60"/>
      <x:c r="AI76" s="60"/>
    </x:row>
    <x:row r="77" ht="45" customHeight="1">
      <x:c r="A77" s="15"/>
      <x:c r="B77" s="15"/>
      <x:c r="C77" s="15"/>
      <x:c r="D77" s="12"/>
      <x:c r="E77" s="12"/>
      <x:c r="F77" s="12"/>
      <x:c r="G77" s="12"/>
      <x:c r="H77" s="12"/>
      <x:c r="I77" s="15"/>
      <x:c r="J77" s="12"/>
      <x:c r="K77" s="12"/>
      <x:c r="L77" s="12"/>
      <x:c r="M77" s="12"/>
      <x:c r="N77" s="12"/>
      <x:c r="O77" s="13"/>
      <x:c r="P77" s="13"/>
      <x:c r="Q77" s="13"/>
      <x:c r="R77" s="13"/>
      <x:c r="S77" s="13"/>
      <x:c r="T77" s="13"/>
      <x:c r="U77" s="14"/>
      <x:c r="V77" s="14"/>
      <x:c r="W77" s="16"/>
      <x:c r="X77" s="16"/>
      <x:c r="Y77" s="14"/>
      <x:c r="Z77" s="66" t="str">
        <x:f t="shared" si="4">IF(A77="","",IF(MAX(LEN(E77),LEN(F77),LEN(G77),LEN(H77))&gt;2*MIN(LEN(E77),LEN(F77),LEN(G77),LEN(H77)),"Review answer lengths",""))</x:f>
      </x:c>
      <x:c r="AA77" s="66" t="str">
        <x:f t="shared" si="5">IF(A77="","",IF(COUNTIF($A$2:$A$301,A77)&gt;1,"Duplicate ID",IF(COUNTIF($D$2:$D$301,D77)&gt;1,"Review repeated text","")))</x:f>
      </x:c>
      <x:c r="AB77" s="66" t="str">
        <x:f t="shared" si="6">IF(A77="","","Unique string or number; no numeric range required")</x:f>
      </x:c>
      <x:c r="AC77" s="66" t="str">
        <x:f>IF(A77="","",IF(OR(B77="",D77="",E77="",F77="",G77="",H77="",J77="",K77="",L77="",M77="",O77="",P77="",AND(I77="",AG77=""),AND(B77&lt;&gt;"repair",B77&lt;&gt;"bridge",C77="")),"INCOMPLETE","CHECK ONLINE"))</x:f>
      </x:c>
      <x:c r="AD77" s="67" t="str">
        <x:f>IF(A77="","",IF(AC77="INCOMPLETE","Fill required fields including RepairSkill and an answer. See Instructions.","Copy all columns with headers to the browser validator for full schema, assets and mode checks."))</x:f>
      </x:c>
      <x:c r="AE77" s="67" t="str">
        <x:f t="shared" si="7">IF(A77="","","https://masteryquests.org/tools/question-bank-validator/")</x:f>
      </x:c>
      <x:c r="AF77" s="60"/>
      <x:c r="AH77" s="60"/>
      <x:c r="AI77" s="60"/>
    </x:row>
    <x:row r="78" ht="45" customHeight="1">
      <x:c r="A78" s="15"/>
      <x:c r="B78" s="15"/>
      <x:c r="C78" s="15"/>
      <x:c r="D78" s="12"/>
      <x:c r="E78" s="12"/>
      <x:c r="F78" s="12"/>
      <x:c r="G78" s="12"/>
      <x:c r="H78" s="12"/>
      <x:c r="I78" s="15"/>
      <x:c r="J78" s="12"/>
      <x:c r="K78" s="12"/>
      <x:c r="L78" s="12"/>
      <x:c r="M78" s="12"/>
      <x:c r="N78" s="12"/>
      <x:c r="O78" s="13"/>
      <x:c r="P78" s="13"/>
      <x:c r="Q78" s="13"/>
      <x:c r="R78" s="13"/>
      <x:c r="S78" s="13"/>
      <x:c r="T78" s="13"/>
      <x:c r="U78" s="14"/>
      <x:c r="V78" s="14"/>
      <x:c r="W78" s="16"/>
      <x:c r="X78" s="16"/>
      <x:c r="Y78" s="14"/>
      <x:c r="Z78" s="66" t="str">
        <x:f t="shared" si="4">IF(A78="","",IF(MAX(LEN(E78),LEN(F78),LEN(G78),LEN(H78))&gt;2*MIN(LEN(E78),LEN(F78),LEN(G78),LEN(H78)),"Review answer lengths",""))</x:f>
      </x:c>
      <x:c r="AA78" s="66" t="str">
        <x:f t="shared" si="5">IF(A78="","",IF(COUNTIF($A$2:$A$301,A78)&gt;1,"Duplicate ID",IF(COUNTIF($D$2:$D$301,D78)&gt;1,"Review repeated text","")))</x:f>
      </x:c>
      <x:c r="AB78" s="66" t="str">
        <x:f t="shared" si="6">IF(A78="","","Unique string or number; no numeric range required")</x:f>
      </x:c>
      <x:c r="AC78" s="66" t="str">
        <x:f>IF(A78="","",IF(OR(B78="",D78="",E78="",F78="",G78="",H78="",J78="",K78="",L78="",M78="",O78="",P78="",AND(I78="",AG78=""),AND(B78&lt;&gt;"repair",B78&lt;&gt;"bridge",C78="")),"INCOMPLETE","CHECK ONLINE"))</x:f>
      </x:c>
      <x:c r="AD78" s="67" t="str">
        <x:f>IF(A78="","",IF(AC78="INCOMPLETE","Fill required fields including RepairSkill and an answer. See Instructions.","Copy all columns with headers to the browser validator for full schema, assets and mode checks."))</x:f>
      </x:c>
      <x:c r="AE78" s="67" t="str">
        <x:f t="shared" si="7">IF(A78="","","https://masteryquests.org/tools/question-bank-validator/")</x:f>
      </x:c>
      <x:c r="AF78" s="60"/>
      <x:c r="AH78" s="60"/>
      <x:c r="AI78" s="60"/>
    </x:row>
    <x:row r="79" ht="45" customHeight="1">
      <x:c r="A79" s="15"/>
      <x:c r="B79" s="15"/>
      <x:c r="C79" s="15"/>
      <x:c r="D79" s="12"/>
      <x:c r="E79" s="12"/>
      <x:c r="F79" s="12"/>
      <x:c r="G79" s="12"/>
      <x:c r="H79" s="12"/>
      <x:c r="I79" s="15"/>
      <x:c r="J79" s="12"/>
      <x:c r="K79" s="12"/>
      <x:c r="L79" s="12"/>
      <x:c r="M79" s="12"/>
      <x:c r="N79" s="12"/>
      <x:c r="O79" s="13"/>
      <x:c r="P79" s="13"/>
      <x:c r="Q79" s="13"/>
      <x:c r="R79" s="13"/>
      <x:c r="S79" s="13"/>
      <x:c r="T79" s="13"/>
      <x:c r="U79" s="14"/>
      <x:c r="V79" s="14"/>
      <x:c r="W79" s="16"/>
      <x:c r="X79" s="16"/>
      <x:c r="Y79" s="14"/>
      <x:c r="Z79" s="66" t="str">
        <x:f t="shared" si="4">IF(A79="","",IF(MAX(LEN(E79),LEN(F79),LEN(G79),LEN(H79))&gt;2*MIN(LEN(E79),LEN(F79),LEN(G79),LEN(H79)),"Review answer lengths",""))</x:f>
      </x:c>
      <x:c r="AA79" s="66" t="str">
        <x:f t="shared" si="5">IF(A79="","",IF(COUNTIF($A$2:$A$301,A79)&gt;1,"Duplicate ID",IF(COUNTIF($D$2:$D$301,D79)&gt;1,"Review repeated text","")))</x:f>
      </x:c>
      <x:c r="AB79" s="66" t="str">
        <x:f t="shared" si="6">IF(A79="","","Unique string or number; no numeric range required")</x:f>
      </x:c>
      <x:c r="AC79" s="66" t="str">
        <x:f>IF(A79="","",IF(OR(B79="",D79="",E79="",F79="",G79="",H79="",J79="",K79="",L79="",M79="",O79="",P79="",AND(I79="",AG79=""),AND(B79&lt;&gt;"repair",B79&lt;&gt;"bridge",C79="")),"INCOMPLETE","CHECK ONLINE"))</x:f>
      </x:c>
      <x:c r="AD79" s="67" t="str">
        <x:f>IF(A79="","",IF(AC79="INCOMPLETE","Fill required fields including RepairSkill and an answer. See Instructions.","Copy all columns with headers to the browser validator for full schema, assets and mode checks."))</x:f>
      </x:c>
      <x:c r="AE79" s="67" t="str">
        <x:f t="shared" si="7">IF(A79="","","https://masteryquests.org/tools/question-bank-validator/")</x:f>
      </x:c>
      <x:c r="AF79" s="60"/>
      <x:c r="AH79" s="60"/>
      <x:c r="AI79" s="60"/>
    </x:row>
    <x:row r="80" ht="45" customHeight="1">
      <x:c r="A80" s="15"/>
      <x:c r="B80" s="15"/>
      <x:c r="C80" s="15"/>
      <x:c r="D80" s="12"/>
      <x:c r="E80" s="12"/>
      <x:c r="F80" s="12"/>
      <x:c r="G80" s="12"/>
      <x:c r="H80" s="12"/>
      <x:c r="I80" s="15"/>
      <x:c r="J80" s="12"/>
      <x:c r="K80" s="12"/>
      <x:c r="L80" s="12"/>
      <x:c r="M80" s="12"/>
      <x:c r="N80" s="12"/>
      <x:c r="O80" s="13"/>
      <x:c r="P80" s="13"/>
      <x:c r="Q80" s="13"/>
      <x:c r="R80" s="13"/>
      <x:c r="S80" s="13"/>
      <x:c r="T80" s="13"/>
      <x:c r="U80" s="14"/>
      <x:c r="V80" s="14"/>
      <x:c r="W80" s="16"/>
      <x:c r="X80" s="16"/>
      <x:c r="Y80" s="14"/>
      <x:c r="Z80" s="66" t="str">
        <x:f t="shared" si="4">IF(A80="","",IF(MAX(LEN(E80),LEN(F80),LEN(G80),LEN(H80))&gt;2*MIN(LEN(E80),LEN(F80),LEN(G80),LEN(H80)),"Review answer lengths",""))</x:f>
      </x:c>
      <x:c r="AA80" s="66" t="str">
        <x:f t="shared" si="5">IF(A80="","",IF(COUNTIF($A$2:$A$301,A80)&gt;1,"Duplicate ID",IF(COUNTIF($D$2:$D$301,D80)&gt;1,"Review repeated text","")))</x:f>
      </x:c>
      <x:c r="AB80" s="66" t="str">
        <x:f t="shared" si="6">IF(A80="","","Unique string or number; no numeric range required")</x:f>
      </x:c>
      <x:c r="AC80" s="66" t="str">
        <x:f>IF(A80="","",IF(OR(B80="",D80="",E80="",F80="",G80="",H80="",J80="",K80="",L80="",M80="",O80="",P80="",AND(I80="",AG80=""),AND(B80&lt;&gt;"repair",B80&lt;&gt;"bridge",C80="")),"INCOMPLETE","CHECK ONLINE"))</x:f>
      </x:c>
      <x:c r="AD80" s="67" t="str">
        <x:f>IF(A80="","",IF(AC80="INCOMPLETE","Fill required fields including RepairSkill and an answer. See Instructions.","Copy all columns with headers to the browser validator for full schema, assets and mode checks."))</x:f>
      </x:c>
      <x:c r="AE80" s="67" t="str">
        <x:f t="shared" si="7">IF(A80="","","https://masteryquests.org/tools/question-bank-validator/")</x:f>
      </x:c>
      <x:c r="AF80" s="60"/>
      <x:c r="AH80" s="60"/>
      <x:c r="AI80" s="60"/>
    </x:row>
    <x:row r="81" ht="45" customHeight="1">
      <x:c r="A81" s="15"/>
      <x:c r="B81" s="15"/>
      <x:c r="C81" s="15"/>
      <x:c r="D81" s="12"/>
      <x:c r="E81" s="12"/>
      <x:c r="F81" s="12"/>
      <x:c r="G81" s="12"/>
      <x:c r="H81" s="12"/>
      <x:c r="I81" s="15"/>
      <x:c r="J81" s="12"/>
      <x:c r="K81" s="12"/>
      <x:c r="L81" s="12"/>
      <x:c r="M81" s="12"/>
      <x:c r="N81" s="12"/>
      <x:c r="O81" s="13"/>
      <x:c r="P81" s="13"/>
      <x:c r="Q81" s="13"/>
      <x:c r="R81" s="13"/>
      <x:c r="S81" s="13"/>
      <x:c r="T81" s="13"/>
      <x:c r="U81" s="14"/>
      <x:c r="V81" s="14"/>
      <x:c r="W81" s="16"/>
      <x:c r="X81" s="16"/>
      <x:c r="Y81" s="14"/>
      <x:c r="Z81" s="66" t="str">
        <x:f t="shared" si="4">IF(A81="","",IF(MAX(LEN(E81),LEN(F81),LEN(G81),LEN(H81))&gt;2*MIN(LEN(E81),LEN(F81),LEN(G81),LEN(H81)),"Review answer lengths",""))</x:f>
      </x:c>
      <x:c r="AA81" s="66" t="str">
        <x:f t="shared" si="5">IF(A81="","",IF(COUNTIF($A$2:$A$301,A81)&gt;1,"Duplicate ID",IF(COUNTIF($D$2:$D$301,D81)&gt;1,"Review repeated text","")))</x:f>
      </x:c>
      <x:c r="AB81" s="66" t="str">
        <x:f t="shared" si="6">IF(A81="","","Unique string or number; no numeric range required")</x:f>
      </x:c>
      <x:c r="AC81" s="66" t="str">
        <x:f>IF(A81="","",IF(OR(B81="",D81="",E81="",F81="",G81="",H81="",J81="",K81="",L81="",M81="",O81="",P81="",AND(I81="",AG81=""),AND(B81&lt;&gt;"repair",B81&lt;&gt;"bridge",C81="")),"INCOMPLETE","CHECK ONLINE"))</x:f>
      </x:c>
      <x:c r="AD81" s="67" t="str">
        <x:f>IF(A81="","",IF(AC81="INCOMPLETE","Fill required fields including RepairSkill and an answer. See Instructions.","Copy all columns with headers to the browser validator for full schema, assets and mode checks."))</x:f>
      </x:c>
      <x:c r="AE81" s="67" t="str">
        <x:f t="shared" si="7">IF(A81="","","https://masteryquests.org/tools/question-bank-validator/")</x:f>
      </x:c>
      <x:c r="AF81" s="60"/>
      <x:c r="AH81" s="60"/>
      <x:c r="AI81" s="60"/>
    </x:row>
    <x:row r="82" ht="45" customHeight="1">
      <x:c r="A82" s="15"/>
      <x:c r="B82" s="15"/>
      <x:c r="C82" s="15"/>
      <x:c r="D82" s="12"/>
      <x:c r="E82" s="12"/>
      <x:c r="F82" s="12"/>
      <x:c r="G82" s="12"/>
      <x:c r="H82" s="12"/>
      <x:c r="I82" s="15"/>
      <x:c r="J82" s="12"/>
      <x:c r="K82" s="12"/>
      <x:c r="L82" s="12"/>
      <x:c r="M82" s="12"/>
      <x:c r="N82" s="12"/>
      <x:c r="O82" s="13"/>
      <x:c r="P82" s="13"/>
      <x:c r="Q82" s="13"/>
      <x:c r="R82" s="13"/>
      <x:c r="S82" s="13"/>
      <x:c r="T82" s="13"/>
      <x:c r="U82" s="14"/>
      <x:c r="V82" s="14"/>
      <x:c r="W82" s="16"/>
      <x:c r="X82" s="16"/>
      <x:c r="Y82" s="14"/>
      <x:c r="Z82" s="66" t="str">
        <x:f t="shared" si="4">IF(A82="","",IF(MAX(LEN(E82),LEN(F82),LEN(G82),LEN(H82))&gt;2*MIN(LEN(E82),LEN(F82),LEN(G82),LEN(H82)),"Review answer lengths",""))</x:f>
      </x:c>
      <x:c r="AA82" s="66" t="str">
        <x:f t="shared" si="5">IF(A82="","",IF(COUNTIF($A$2:$A$301,A82)&gt;1,"Duplicate ID",IF(COUNTIF($D$2:$D$301,D82)&gt;1,"Review repeated text","")))</x:f>
      </x:c>
      <x:c r="AB82" s="66" t="str">
        <x:f t="shared" si="6">IF(A82="","","Unique string or number; no numeric range required")</x:f>
      </x:c>
      <x:c r="AC82" s="66" t="str">
        <x:f>IF(A82="","",IF(OR(B82="",D82="",E82="",F82="",G82="",H82="",J82="",K82="",L82="",M82="",O82="",P82="",AND(I82="",AG82=""),AND(B82&lt;&gt;"repair",B82&lt;&gt;"bridge",C82="")),"INCOMPLETE","CHECK ONLINE"))</x:f>
      </x:c>
      <x:c r="AD82" s="67" t="str">
        <x:f>IF(A82="","",IF(AC82="INCOMPLETE","Fill required fields including RepairSkill and an answer. See Instructions.","Copy all columns with headers to the browser validator for full schema, assets and mode checks."))</x:f>
      </x:c>
      <x:c r="AE82" s="67" t="str">
        <x:f t="shared" si="7">IF(A82="","","https://masteryquests.org/tools/question-bank-validator/")</x:f>
      </x:c>
      <x:c r="AF82" s="60"/>
      <x:c r="AH82" s="60"/>
      <x:c r="AI82" s="60"/>
    </x:row>
    <x:row r="83" ht="45" customHeight="1">
      <x:c r="A83" s="15"/>
      <x:c r="B83" s="15"/>
      <x:c r="C83" s="15"/>
      <x:c r="D83" s="12"/>
      <x:c r="E83" s="12"/>
      <x:c r="F83" s="12"/>
      <x:c r="G83" s="12"/>
      <x:c r="H83" s="12"/>
      <x:c r="I83" s="15"/>
      <x:c r="J83" s="12"/>
      <x:c r="K83" s="12"/>
      <x:c r="L83" s="12"/>
      <x:c r="M83" s="12"/>
      <x:c r="N83" s="12"/>
      <x:c r="O83" s="13"/>
      <x:c r="P83" s="13"/>
      <x:c r="Q83" s="13"/>
      <x:c r="R83" s="13"/>
      <x:c r="S83" s="13"/>
      <x:c r="T83" s="13"/>
      <x:c r="U83" s="14"/>
      <x:c r="V83" s="14"/>
      <x:c r="W83" s="16"/>
      <x:c r="X83" s="16"/>
      <x:c r="Y83" s="14"/>
      <x:c r="Z83" s="66" t="str">
        <x:f t="shared" si="4">IF(A83="","",IF(MAX(LEN(E83),LEN(F83),LEN(G83),LEN(H83))&gt;2*MIN(LEN(E83),LEN(F83),LEN(G83),LEN(H83)),"Review answer lengths",""))</x:f>
      </x:c>
      <x:c r="AA83" s="66" t="str">
        <x:f t="shared" si="5">IF(A83="","",IF(COUNTIF($A$2:$A$301,A83)&gt;1,"Duplicate ID",IF(COUNTIF($D$2:$D$301,D83)&gt;1,"Review repeated text","")))</x:f>
      </x:c>
      <x:c r="AB83" s="66" t="str">
        <x:f t="shared" si="6">IF(A83="","","Unique string or number; no numeric range required")</x:f>
      </x:c>
      <x:c r="AC83" s="66" t="str">
        <x:f>IF(A83="","",IF(OR(B83="",D83="",E83="",F83="",G83="",H83="",J83="",K83="",L83="",M83="",O83="",P83="",AND(I83="",AG83=""),AND(B83&lt;&gt;"repair",B83&lt;&gt;"bridge",C83="")),"INCOMPLETE","CHECK ONLINE"))</x:f>
      </x:c>
      <x:c r="AD83" s="67" t="str">
        <x:f>IF(A83="","",IF(AC83="INCOMPLETE","Fill required fields including RepairSkill and an answer. See Instructions.","Copy all columns with headers to the browser validator for full schema, assets and mode checks."))</x:f>
      </x:c>
      <x:c r="AE83" s="67" t="str">
        <x:f t="shared" si="7">IF(A83="","","https://masteryquests.org/tools/question-bank-validator/")</x:f>
      </x:c>
      <x:c r="AF83" s="60"/>
      <x:c r="AH83" s="60"/>
      <x:c r="AI83" s="60"/>
    </x:row>
    <x:row r="84" ht="45" customHeight="1">
      <x:c r="A84" s="15"/>
      <x:c r="B84" s="15"/>
      <x:c r="C84" s="15"/>
      <x:c r="D84" s="12"/>
      <x:c r="E84" s="12"/>
      <x:c r="F84" s="12"/>
      <x:c r="G84" s="12"/>
      <x:c r="H84" s="12"/>
      <x:c r="I84" s="15"/>
      <x:c r="J84" s="12"/>
      <x:c r="K84" s="12"/>
      <x:c r="L84" s="12"/>
      <x:c r="M84" s="12"/>
      <x:c r="N84" s="12"/>
      <x:c r="O84" s="13"/>
      <x:c r="P84" s="13"/>
      <x:c r="Q84" s="13"/>
      <x:c r="R84" s="13"/>
      <x:c r="S84" s="13"/>
      <x:c r="T84" s="13"/>
      <x:c r="U84" s="14"/>
      <x:c r="V84" s="14"/>
      <x:c r="W84" s="16"/>
      <x:c r="X84" s="16"/>
      <x:c r="Y84" s="14"/>
      <x:c r="Z84" s="66" t="str">
        <x:f t="shared" si="4">IF(A84="","",IF(MAX(LEN(E84),LEN(F84),LEN(G84),LEN(H84))&gt;2*MIN(LEN(E84),LEN(F84),LEN(G84),LEN(H84)),"Review answer lengths",""))</x:f>
      </x:c>
      <x:c r="AA84" s="66" t="str">
        <x:f t="shared" si="5">IF(A84="","",IF(COUNTIF($A$2:$A$301,A84)&gt;1,"Duplicate ID",IF(COUNTIF($D$2:$D$301,D84)&gt;1,"Review repeated text","")))</x:f>
      </x:c>
      <x:c r="AB84" s="66" t="str">
        <x:f t="shared" si="6">IF(A84="","","Unique string or number; no numeric range required")</x:f>
      </x:c>
      <x:c r="AC84" s="66" t="str">
        <x:f>IF(A84="","",IF(OR(B84="",D84="",E84="",F84="",G84="",H84="",J84="",K84="",L84="",M84="",O84="",P84="",AND(I84="",AG84=""),AND(B84&lt;&gt;"repair",B84&lt;&gt;"bridge",C84="")),"INCOMPLETE","CHECK ONLINE"))</x:f>
      </x:c>
      <x:c r="AD84" s="67" t="str">
        <x:f>IF(A84="","",IF(AC84="INCOMPLETE","Fill required fields including RepairSkill and an answer. See Instructions.","Copy all columns with headers to the browser validator for full schema, assets and mode checks."))</x:f>
      </x:c>
      <x:c r="AE84" s="67" t="str">
        <x:f t="shared" si="7">IF(A84="","","https://masteryquests.org/tools/question-bank-validator/")</x:f>
      </x:c>
      <x:c r="AF84" s="60"/>
      <x:c r="AH84" s="60"/>
      <x:c r="AI84" s="60"/>
    </x:row>
    <x:row r="85" ht="45" customHeight="1">
      <x:c r="A85" s="15"/>
      <x:c r="B85" s="15"/>
      <x:c r="C85" s="15"/>
      <x:c r="D85" s="12"/>
      <x:c r="E85" s="12"/>
      <x:c r="F85" s="12"/>
      <x:c r="G85" s="12"/>
      <x:c r="H85" s="12"/>
      <x:c r="I85" s="15"/>
      <x:c r="J85" s="12"/>
      <x:c r="K85" s="12"/>
      <x:c r="L85" s="12"/>
      <x:c r="M85" s="12"/>
      <x:c r="N85" s="12"/>
      <x:c r="O85" s="13"/>
      <x:c r="P85" s="13"/>
      <x:c r="Q85" s="13"/>
      <x:c r="R85" s="13"/>
      <x:c r="S85" s="13"/>
      <x:c r="T85" s="13"/>
      <x:c r="U85" s="14"/>
      <x:c r="V85" s="14"/>
      <x:c r="W85" s="16"/>
      <x:c r="X85" s="16"/>
      <x:c r="Y85" s="14"/>
      <x:c r="Z85" s="66" t="str">
        <x:f t="shared" si="4">IF(A85="","",IF(MAX(LEN(E85),LEN(F85),LEN(G85),LEN(H85))&gt;2*MIN(LEN(E85),LEN(F85),LEN(G85),LEN(H85)),"Review answer lengths",""))</x:f>
      </x:c>
      <x:c r="AA85" s="66" t="str">
        <x:f t="shared" si="5">IF(A85="","",IF(COUNTIF($A$2:$A$301,A85)&gt;1,"Duplicate ID",IF(COUNTIF($D$2:$D$301,D85)&gt;1,"Review repeated text","")))</x:f>
      </x:c>
      <x:c r="AB85" s="66" t="str">
        <x:f t="shared" si="6">IF(A85="","","Unique string or number; no numeric range required")</x:f>
      </x:c>
      <x:c r="AC85" s="66" t="str">
        <x:f>IF(A85="","",IF(OR(B85="",D85="",E85="",F85="",G85="",H85="",J85="",K85="",L85="",M85="",O85="",P85="",AND(I85="",AG85=""),AND(B85&lt;&gt;"repair",B85&lt;&gt;"bridge",C85="")),"INCOMPLETE","CHECK ONLINE"))</x:f>
      </x:c>
      <x:c r="AD85" s="67" t="str">
        <x:f>IF(A85="","",IF(AC85="INCOMPLETE","Fill required fields including RepairSkill and an answer. See Instructions.","Copy all columns with headers to the browser validator for full schema, assets and mode checks."))</x:f>
      </x:c>
      <x:c r="AE85" s="67" t="str">
        <x:f t="shared" si="7">IF(A85="","","https://masteryquests.org/tools/question-bank-validator/")</x:f>
      </x:c>
      <x:c r="AF85" s="60"/>
      <x:c r="AH85" s="60"/>
      <x:c r="AI85" s="60"/>
    </x:row>
    <x:row r="86" ht="45" customHeight="1">
      <x:c r="A86" s="15"/>
      <x:c r="B86" s="15"/>
      <x:c r="C86" s="15"/>
      <x:c r="D86" s="12"/>
      <x:c r="E86" s="12"/>
      <x:c r="F86" s="12"/>
      <x:c r="G86" s="12"/>
      <x:c r="H86" s="12"/>
      <x:c r="I86" s="15"/>
      <x:c r="J86" s="12"/>
      <x:c r="K86" s="12"/>
      <x:c r="L86" s="12"/>
      <x:c r="M86" s="12"/>
      <x:c r="N86" s="12"/>
      <x:c r="O86" s="13"/>
      <x:c r="P86" s="13"/>
      <x:c r="Q86" s="13"/>
      <x:c r="R86" s="13"/>
      <x:c r="S86" s="13"/>
      <x:c r="T86" s="13"/>
      <x:c r="U86" s="14"/>
      <x:c r="V86" s="14"/>
      <x:c r="W86" s="16"/>
      <x:c r="X86" s="16"/>
      <x:c r="Y86" s="14"/>
      <x:c r="Z86" s="66" t="str">
        <x:f t="shared" si="4">IF(A86="","",IF(MAX(LEN(E86),LEN(F86),LEN(G86),LEN(H86))&gt;2*MIN(LEN(E86),LEN(F86),LEN(G86),LEN(H86)),"Review answer lengths",""))</x:f>
      </x:c>
      <x:c r="AA86" s="66" t="str">
        <x:f t="shared" si="5">IF(A86="","",IF(COUNTIF($A$2:$A$301,A86)&gt;1,"Duplicate ID",IF(COUNTIF($D$2:$D$301,D86)&gt;1,"Review repeated text","")))</x:f>
      </x:c>
      <x:c r="AB86" s="66" t="str">
        <x:f t="shared" si="6">IF(A86="","","Unique string or number; no numeric range required")</x:f>
      </x:c>
      <x:c r="AC86" s="66" t="str">
        <x:f>IF(A86="","",IF(OR(B86="",D86="",E86="",F86="",G86="",H86="",J86="",K86="",L86="",M86="",O86="",P86="",AND(I86="",AG86=""),AND(B86&lt;&gt;"repair",B86&lt;&gt;"bridge",C86="")),"INCOMPLETE","CHECK ONLINE"))</x:f>
      </x:c>
      <x:c r="AD86" s="67" t="str">
        <x:f>IF(A86="","",IF(AC86="INCOMPLETE","Fill required fields including RepairSkill and an answer. See Instructions.","Copy all columns with headers to the browser validator for full schema, assets and mode checks."))</x:f>
      </x:c>
      <x:c r="AE86" s="67" t="str">
        <x:f t="shared" si="7">IF(A86="","","https://masteryquests.org/tools/question-bank-validator/")</x:f>
      </x:c>
      <x:c r="AF86" s="60"/>
      <x:c r="AH86" s="60"/>
      <x:c r="AI86" s="60"/>
    </x:row>
    <x:row r="87" ht="45" customHeight="1">
      <x:c r="A87" s="15"/>
      <x:c r="B87" s="15"/>
      <x:c r="C87" s="15"/>
      <x:c r="D87" s="12"/>
      <x:c r="E87" s="12"/>
      <x:c r="F87" s="12"/>
      <x:c r="G87" s="12"/>
      <x:c r="H87" s="12"/>
      <x:c r="I87" s="15"/>
      <x:c r="J87" s="12"/>
      <x:c r="K87" s="12"/>
      <x:c r="L87" s="12"/>
      <x:c r="M87" s="12"/>
      <x:c r="N87" s="12"/>
      <x:c r="O87" s="13"/>
      <x:c r="P87" s="13"/>
      <x:c r="Q87" s="13"/>
      <x:c r="R87" s="13"/>
      <x:c r="S87" s="13"/>
      <x:c r="T87" s="13"/>
      <x:c r="U87" s="14"/>
      <x:c r="V87" s="14"/>
      <x:c r="W87" s="16"/>
      <x:c r="X87" s="16"/>
      <x:c r="Y87" s="14"/>
      <x:c r="Z87" s="66" t="str">
        <x:f t="shared" si="4">IF(A87="","",IF(MAX(LEN(E87),LEN(F87),LEN(G87),LEN(H87))&gt;2*MIN(LEN(E87),LEN(F87),LEN(G87),LEN(H87)),"Review answer lengths",""))</x:f>
      </x:c>
      <x:c r="AA87" s="66" t="str">
        <x:f t="shared" si="5">IF(A87="","",IF(COUNTIF($A$2:$A$301,A87)&gt;1,"Duplicate ID",IF(COUNTIF($D$2:$D$301,D87)&gt;1,"Review repeated text","")))</x:f>
      </x:c>
      <x:c r="AB87" s="66" t="str">
        <x:f t="shared" si="6">IF(A87="","","Unique string or number; no numeric range required")</x:f>
      </x:c>
      <x:c r="AC87" s="66" t="str">
        <x:f>IF(A87="","",IF(OR(B87="",D87="",E87="",F87="",G87="",H87="",J87="",K87="",L87="",M87="",O87="",P87="",AND(I87="",AG87=""),AND(B87&lt;&gt;"repair",B87&lt;&gt;"bridge",C87="")),"INCOMPLETE","CHECK ONLINE"))</x:f>
      </x:c>
      <x:c r="AD87" s="67" t="str">
        <x:f>IF(A87="","",IF(AC87="INCOMPLETE","Fill required fields including RepairSkill and an answer. See Instructions.","Copy all columns with headers to the browser validator for full schema, assets and mode checks."))</x:f>
      </x:c>
      <x:c r="AE87" s="67" t="str">
        <x:f t="shared" si="7">IF(A87="","","https://masteryquests.org/tools/question-bank-validator/")</x:f>
      </x:c>
      <x:c r="AF87" s="60"/>
      <x:c r="AH87" s="60"/>
      <x:c r="AI87" s="60"/>
    </x:row>
    <x:row r="88" ht="45" customHeight="1">
      <x:c r="A88" s="15"/>
      <x:c r="B88" s="15"/>
      <x:c r="C88" s="15"/>
      <x:c r="D88" s="12"/>
      <x:c r="E88" s="12"/>
      <x:c r="F88" s="12"/>
      <x:c r="G88" s="12"/>
      <x:c r="H88" s="12"/>
      <x:c r="I88" s="15"/>
      <x:c r="J88" s="12"/>
      <x:c r="K88" s="12"/>
      <x:c r="L88" s="12"/>
      <x:c r="M88" s="12"/>
      <x:c r="N88" s="12"/>
      <x:c r="O88" s="13"/>
      <x:c r="P88" s="13"/>
      <x:c r="Q88" s="13"/>
      <x:c r="R88" s="13"/>
      <x:c r="S88" s="13"/>
      <x:c r="T88" s="13"/>
      <x:c r="U88" s="14"/>
      <x:c r="V88" s="14"/>
      <x:c r="W88" s="16"/>
      <x:c r="X88" s="16"/>
      <x:c r="Y88" s="14"/>
      <x:c r="Z88" s="66" t="str">
        <x:f t="shared" si="4">IF(A88="","",IF(MAX(LEN(E88),LEN(F88),LEN(G88),LEN(H88))&gt;2*MIN(LEN(E88),LEN(F88),LEN(G88),LEN(H88)),"Review answer lengths",""))</x:f>
      </x:c>
      <x:c r="AA88" s="66" t="str">
        <x:f t="shared" si="5">IF(A88="","",IF(COUNTIF($A$2:$A$301,A88)&gt;1,"Duplicate ID",IF(COUNTIF($D$2:$D$301,D88)&gt;1,"Review repeated text","")))</x:f>
      </x:c>
      <x:c r="AB88" s="66" t="str">
        <x:f t="shared" si="6">IF(A88="","","Unique string or number; no numeric range required")</x:f>
      </x:c>
      <x:c r="AC88" s="66" t="str">
        <x:f>IF(A88="","",IF(OR(B88="",D88="",E88="",F88="",G88="",H88="",J88="",K88="",L88="",M88="",O88="",P88="",AND(I88="",AG88=""),AND(B88&lt;&gt;"repair",B88&lt;&gt;"bridge",C88="")),"INCOMPLETE","CHECK ONLINE"))</x:f>
      </x:c>
      <x:c r="AD88" s="67" t="str">
        <x:f>IF(A88="","",IF(AC88="INCOMPLETE","Fill required fields including RepairSkill and an answer. See Instructions.","Copy all columns with headers to the browser validator for full schema, assets and mode checks."))</x:f>
      </x:c>
      <x:c r="AE88" s="67" t="str">
        <x:f t="shared" si="7">IF(A88="","","https://masteryquests.org/tools/question-bank-validator/")</x:f>
      </x:c>
      <x:c r="AF88" s="60"/>
      <x:c r="AH88" s="60"/>
      <x:c r="AI88" s="60"/>
    </x:row>
    <x:row r="89" ht="45" customHeight="1">
      <x:c r="A89" s="15"/>
      <x:c r="B89" s="15"/>
      <x:c r="C89" s="15"/>
      <x:c r="D89" s="12"/>
      <x:c r="E89" s="12"/>
      <x:c r="F89" s="12"/>
      <x:c r="G89" s="12"/>
      <x:c r="H89" s="12"/>
      <x:c r="I89" s="15"/>
      <x:c r="J89" s="12"/>
      <x:c r="K89" s="12"/>
      <x:c r="L89" s="12"/>
      <x:c r="M89" s="12"/>
      <x:c r="N89" s="12"/>
      <x:c r="O89" s="13"/>
      <x:c r="P89" s="13"/>
      <x:c r="Q89" s="13"/>
      <x:c r="R89" s="13"/>
      <x:c r="S89" s="13"/>
      <x:c r="T89" s="13"/>
      <x:c r="U89" s="14"/>
      <x:c r="V89" s="14"/>
      <x:c r="W89" s="16"/>
      <x:c r="X89" s="16"/>
      <x:c r="Y89" s="14"/>
      <x:c r="Z89" s="66" t="str">
        <x:f t="shared" si="4">IF(A89="","",IF(MAX(LEN(E89),LEN(F89),LEN(G89),LEN(H89))&gt;2*MIN(LEN(E89),LEN(F89),LEN(G89),LEN(H89)),"Review answer lengths",""))</x:f>
      </x:c>
      <x:c r="AA89" s="66" t="str">
        <x:f t="shared" si="5">IF(A89="","",IF(COUNTIF($A$2:$A$301,A89)&gt;1,"Duplicate ID",IF(COUNTIF($D$2:$D$301,D89)&gt;1,"Review repeated text","")))</x:f>
      </x:c>
      <x:c r="AB89" s="66" t="str">
        <x:f t="shared" si="6">IF(A89="","","Unique string or number; no numeric range required")</x:f>
      </x:c>
      <x:c r="AC89" s="66" t="str">
        <x:f>IF(A89="","",IF(OR(B89="",D89="",E89="",F89="",G89="",H89="",J89="",K89="",L89="",M89="",O89="",P89="",AND(I89="",AG89=""),AND(B89&lt;&gt;"repair",B89&lt;&gt;"bridge",C89="")),"INCOMPLETE","CHECK ONLINE"))</x:f>
      </x:c>
      <x:c r="AD89" s="67" t="str">
        <x:f>IF(A89="","",IF(AC89="INCOMPLETE","Fill required fields including RepairSkill and an answer. See Instructions.","Copy all columns with headers to the browser validator for full schema, assets and mode checks."))</x:f>
      </x:c>
      <x:c r="AE89" s="67" t="str">
        <x:f t="shared" si="7">IF(A89="","","https://masteryquests.org/tools/question-bank-validator/")</x:f>
      </x:c>
      <x:c r="AF89" s="60"/>
      <x:c r="AH89" s="60"/>
      <x:c r="AI89" s="60"/>
    </x:row>
    <x:row r="90" ht="45" customHeight="1">
      <x:c r="A90" s="15"/>
      <x:c r="B90" s="15"/>
      <x:c r="C90" s="15"/>
      <x:c r="D90" s="12"/>
      <x:c r="E90" s="12"/>
      <x:c r="F90" s="12"/>
      <x:c r="G90" s="12"/>
      <x:c r="H90" s="12"/>
      <x:c r="I90" s="15"/>
      <x:c r="J90" s="12"/>
      <x:c r="K90" s="12"/>
      <x:c r="L90" s="12"/>
      <x:c r="M90" s="12"/>
      <x:c r="N90" s="12"/>
      <x:c r="O90" s="13"/>
      <x:c r="P90" s="13"/>
      <x:c r="Q90" s="13"/>
      <x:c r="R90" s="13"/>
      <x:c r="S90" s="13"/>
      <x:c r="T90" s="13"/>
      <x:c r="U90" s="14"/>
      <x:c r="V90" s="14"/>
      <x:c r="W90" s="16"/>
      <x:c r="X90" s="16"/>
      <x:c r="Y90" s="14"/>
      <x:c r="Z90" s="66" t="str">
        <x:f t="shared" si="4">IF(A90="","",IF(MAX(LEN(E90),LEN(F90),LEN(G90),LEN(H90))&gt;2*MIN(LEN(E90),LEN(F90),LEN(G90),LEN(H90)),"Review answer lengths",""))</x:f>
      </x:c>
      <x:c r="AA90" s="66" t="str">
        <x:f t="shared" si="5">IF(A90="","",IF(COUNTIF($A$2:$A$301,A90)&gt;1,"Duplicate ID",IF(COUNTIF($D$2:$D$301,D90)&gt;1,"Review repeated text","")))</x:f>
      </x:c>
      <x:c r="AB90" s="66" t="str">
        <x:f t="shared" si="6">IF(A90="","","Unique string or number; no numeric range required")</x:f>
      </x:c>
      <x:c r="AC90" s="66" t="str">
        <x:f>IF(A90="","",IF(OR(B90="",D90="",E90="",F90="",G90="",H90="",J90="",K90="",L90="",M90="",O90="",P90="",AND(I90="",AG90=""),AND(B90&lt;&gt;"repair",B90&lt;&gt;"bridge",C90="")),"INCOMPLETE","CHECK ONLINE"))</x:f>
      </x:c>
      <x:c r="AD90" s="67" t="str">
        <x:f>IF(A90="","",IF(AC90="INCOMPLETE","Fill required fields including RepairSkill and an answer. See Instructions.","Copy all columns with headers to the browser validator for full schema, assets and mode checks."))</x:f>
      </x:c>
      <x:c r="AE90" s="67" t="str">
        <x:f t="shared" si="7">IF(A90="","","https://masteryquests.org/tools/question-bank-validator/")</x:f>
      </x:c>
      <x:c r="AF90" s="60"/>
      <x:c r="AH90" s="60"/>
      <x:c r="AI90" s="60"/>
    </x:row>
    <x:row r="91" ht="45" customHeight="1">
      <x:c r="A91" s="15"/>
      <x:c r="B91" s="15"/>
      <x:c r="C91" s="15"/>
      <x:c r="D91" s="12"/>
      <x:c r="E91" s="12"/>
      <x:c r="F91" s="12"/>
      <x:c r="G91" s="12"/>
      <x:c r="H91" s="12"/>
      <x:c r="I91" s="15"/>
      <x:c r="J91" s="12"/>
      <x:c r="K91" s="12"/>
      <x:c r="L91" s="12"/>
      <x:c r="M91" s="12"/>
      <x:c r="N91" s="12"/>
      <x:c r="O91" s="13"/>
      <x:c r="P91" s="13"/>
      <x:c r="Q91" s="13"/>
      <x:c r="R91" s="13"/>
      <x:c r="S91" s="13"/>
      <x:c r="T91" s="13"/>
      <x:c r="U91" s="14"/>
      <x:c r="V91" s="14"/>
      <x:c r="W91" s="16"/>
      <x:c r="X91" s="16"/>
      <x:c r="Y91" s="14"/>
      <x:c r="Z91" s="66" t="str">
        <x:f t="shared" si="4">IF(A91="","",IF(MAX(LEN(E91),LEN(F91),LEN(G91),LEN(H91))&gt;2*MIN(LEN(E91),LEN(F91),LEN(G91),LEN(H91)),"Review answer lengths",""))</x:f>
      </x:c>
      <x:c r="AA91" s="66" t="str">
        <x:f t="shared" si="5">IF(A91="","",IF(COUNTIF($A$2:$A$301,A91)&gt;1,"Duplicate ID",IF(COUNTIF($D$2:$D$301,D91)&gt;1,"Review repeated text","")))</x:f>
      </x:c>
      <x:c r="AB91" s="66" t="str">
        <x:f t="shared" si="6">IF(A91="","","Unique string or number; no numeric range required")</x:f>
      </x:c>
      <x:c r="AC91" s="66" t="str">
        <x:f>IF(A91="","",IF(OR(B91="",D91="",E91="",F91="",G91="",H91="",J91="",K91="",L91="",M91="",O91="",P91="",AND(I91="",AG91=""),AND(B91&lt;&gt;"repair",B91&lt;&gt;"bridge",C91="")),"INCOMPLETE","CHECK ONLINE"))</x:f>
      </x:c>
      <x:c r="AD91" s="67" t="str">
        <x:f>IF(A91="","",IF(AC91="INCOMPLETE","Fill required fields including RepairSkill and an answer. See Instructions.","Copy all columns with headers to the browser validator for full schema, assets and mode checks."))</x:f>
      </x:c>
      <x:c r="AE91" s="67" t="str">
        <x:f t="shared" si="7">IF(A91="","","https://masteryquests.org/tools/question-bank-validator/")</x:f>
      </x:c>
      <x:c r="AF91" s="60"/>
      <x:c r="AH91" s="60"/>
      <x:c r="AI91" s="60"/>
    </x:row>
    <x:row r="92" ht="45" customHeight="1">
      <x:c r="A92" s="15"/>
      <x:c r="B92" s="15"/>
      <x:c r="C92" s="15"/>
      <x:c r="D92" s="12"/>
      <x:c r="E92" s="12"/>
      <x:c r="F92" s="12"/>
      <x:c r="G92" s="12"/>
      <x:c r="H92" s="12"/>
      <x:c r="I92" s="15"/>
      <x:c r="J92" s="12"/>
      <x:c r="K92" s="12"/>
      <x:c r="L92" s="12"/>
      <x:c r="M92" s="12"/>
      <x:c r="N92" s="12"/>
      <x:c r="O92" s="13"/>
      <x:c r="P92" s="13"/>
      <x:c r="Q92" s="13"/>
      <x:c r="R92" s="13"/>
      <x:c r="S92" s="13"/>
      <x:c r="T92" s="13"/>
      <x:c r="U92" s="14"/>
      <x:c r="V92" s="14"/>
      <x:c r="W92" s="16"/>
      <x:c r="X92" s="16"/>
      <x:c r="Y92" s="14"/>
      <x:c r="Z92" s="66" t="str">
        <x:f t="shared" si="4">IF(A92="","",IF(MAX(LEN(E92),LEN(F92),LEN(G92),LEN(H92))&gt;2*MIN(LEN(E92),LEN(F92),LEN(G92),LEN(H92)),"Review answer lengths",""))</x:f>
      </x:c>
      <x:c r="AA92" s="66" t="str">
        <x:f t="shared" si="5">IF(A92="","",IF(COUNTIF($A$2:$A$301,A92)&gt;1,"Duplicate ID",IF(COUNTIF($D$2:$D$301,D92)&gt;1,"Review repeated text","")))</x:f>
      </x:c>
      <x:c r="AB92" s="66" t="str">
        <x:f t="shared" si="6">IF(A92="","","Unique string or number; no numeric range required")</x:f>
      </x:c>
      <x:c r="AC92" s="66" t="str">
        <x:f>IF(A92="","",IF(OR(B92="",D92="",E92="",F92="",G92="",H92="",J92="",K92="",L92="",M92="",O92="",P92="",AND(I92="",AG92=""),AND(B92&lt;&gt;"repair",B92&lt;&gt;"bridge",C92="")),"INCOMPLETE","CHECK ONLINE"))</x:f>
      </x:c>
      <x:c r="AD92" s="67" t="str">
        <x:f>IF(A92="","",IF(AC92="INCOMPLETE","Fill required fields including RepairSkill and an answer. See Instructions.","Copy all columns with headers to the browser validator for full schema, assets and mode checks."))</x:f>
      </x:c>
      <x:c r="AE92" s="67" t="str">
        <x:f t="shared" si="7">IF(A92="","","https://masteryquests.org/tools/question-bank-validator/")</x:f>
      </x:c>
      <x:c r="AF92" s="60"/>
      <x:c r="AH92" s="60"/>
      <x:c r="AI92" s="60"/>
    </x:row>
    <x:row r="93" ht="45" customHeight="1">
      <x:c r="A93" s="15"/>
      <x:c r="B93" s="15"/>
      <x:c r="C93" s="15"/>
      <x:c r="D93" s="12"/>
      <x:c r="E93" s="12"/>
      <x:c r="F93" s="12"/>
      <x:c r="G93" s="12"/>
      <x:c r="H93" s="12"/>
      <x:c r="I93" s="15"/>
      <x:c r="J93" s="12"/>
      <x:c r="K93" s="12"/>
      <x:c r="L93" s="12"/>
      <x:c r="M93" s="12"/>
      <x:c r="N93" s="12"/>
      <x:c r="O93" s="13"/>
      <x:c r="P93" s="13"/>
      <x:c r="Q93" s="13"/>
      <x:c r="R93" s="13"/>
      <x:c r="S93" s="13"/>
      <x:c r="T93" s="13"/>
      <x:c r="U93" s="14"/>
      <x:c r="V93" s="14"/>
      <x:c r="W93" s="16"/>
      <x:c r="X93" s="16"/>
      <x:c r="Y93" s="14"/>
      <x:c r="Z93" s="66" t="str">
        <x:f t="shared" si="4">IF(A93="","",IF(MAX(LEN(E93),LEN(F93),LEN(G93),LEN(H93))&gt;2*MIN(LEN(E93),LEN(F93),LEN(G93),LEN(H93)),"Review answer lengths",""))</x:f>
      </x:c>
      <x:c r="AA93" s="66" t="str">
        <x:f t="shared" si="5">IF(A93="","",IF(COUNTIF($A$2:$A$301,A93)&gt;1,"Duplicate ID",IF(COUNTIF($D$2:$D$301,D93)&gt;1,"Review repeated text","")))</x:f>
      </x:c>
      <x:c r="AB93" s="66" t="str">
        <x:f t="shared" si="6">IF(A93="","","Unique string or number; no numeric range required")</x:f>
      </x:c>
      <x:c r="AC93" s="66" t="str">
        <x:f>IF(A93="","",IF(OR(B93="",D93="",E93="",F93="",G93="",H93="",J93="",K93="",L93="",M93="",O93="",P93="",AND(I93="",AG93=""),AND(B93&lt;&gt;"repair",B93&lt;&gt;"bridge",C93="")),"INCOMPLETE","CHECK ONLINE"))</x:f>
      </x:c>
      <x:c r="AD93" s="67" t="str">
        <x:f>IF(A93="","",IF(AC93="INCOMPLETE","Fill required fields including RepairSkill and an answer. See Instructions.","Copy all columns with headers to the browser validator for full schema, assets and mode checks."))</x:f>
      </x:c>
      <x:c r="AE93" s="67" t="str">
        <x:f t="shared" si="7">IF(A93="","","https://masteryquests.org/tools/question-bank-validator/")</x:f>
      </x:c>
      <x:c r="AF93" s="60"/>
      <x:c r="AH93" s="60"/>
      <x:c r="AI93" s="60"/>
    </x:row>
    <x:row r="94" ht="45" customHeight="1">
      <x:c r="A94" s="15"/>
      <x:c r="B94" s="15"/>
      <x:c r="C94" s="15"/>
      <x:c r="D94" s="12"/>
      <x:c r="E94" s="12"/>
      <x:c r="F94" s="12"/>
      <x:c r="G94" s="12"/>
      <x:c r="H94" s="12"/>
      <x:c r="I94" s="15"/>
      <x:c r="J94" s="12"/>
      <x:c r="K94" s="12"/>
      <x:c r="L94" s="12"/>
      <x:c r="M94" s="12"/>
      <x:c r="N94" s="12"/>
      <x:c r="O94" s="13"/>
      <x:c r="P94" s="13"/>
      <x:c r="Q94" s="13"/>
      <x:c r="R94" s="13"/>
      <x:c r="S94" s="13"/>
      <x:c r="T94" s="13"/>
      <x:c r="U94" s="14"/>
      <x:c r="V94" s="14"/>
      <x:c r="W94" s="16"/>
      <x:c r="X94" s="16"/>
      <x:c r="Y94" s="14"/>
      <x:c r="Z94" s="66" t="str">
        <x:f t="shared" si="4">IF(A94="","",IF(MAX(LEN(E94),LEN(F94),LEN(G94),LEN(H94))&gt;2*MIN(LEN(E94),LEN(F94),LEN(G94),LEN(H94)),"Review answer lengths",""))</x:f>
      </x:c>
      <x:c r="AA94" s="66" t="str">
        <x:f t="shared" si="5">IF(A94="","",IF(COUNTIF($A$2:$A$301,A94)&gt;1,"Duplicate ID",IF(COUNTIF($D$2:$D$301,D94)&gt;1,"Review repeated text","")))</x:f>
      </x:c>
      <x:c r="AB94" s="66" t="str">
        <x:f t="shared" si="6">IF(A94="","","Unique string or number; no numeric range required")</x:f>
      </x:c>
      <x:c r="AC94" s="66" t="str">
        <x:f>IF(A94="","",IF(OR(B94="",D94="",E94="",F94="",G94="",H94="",J94="",K94="",L94="",M94="",O94="",P94="",AND(I94="",AG94=""),AND(B94&lt;&gt;"repair",B94&lt;&gt;"bridge",C94="")),"INCOMPLETE","CHECK ONLINE"))</x:f>
      </x:c>
      <x:c r="AD94" s="67" t="str">
        <x:f>IF(A94="","",IF(AC94="INCOMPLETE","Fill required fields including RepairSkill and an answer. See Instructions.","Copy all columns with headers to the browser validator for full schema, assets and mode checks."))</x:f>
      </x:c>
      <x:c r="AE94" s="67" t="str">
        <x:f t="shared" si="7">IF(A94="","","https://masteryquests.org/tools/question-bank-validator/")</x:f>
      </x:c>
      <x:c r="AF94" s="60"/>
      <x:c r="AH94" s="60"/>
      <x:c r="AI94" s="60"/>
    </x:row>
    <x:row r="95" ht="45" customHeight="1">
      <x:c r="A95" s="15"/>
      <x:c r="B95" s="15"/>
      <x:c r="C95" s="15"/>
      <x:c r="D95" s="12"/>
      <x:c r="E95" s="12"/>
      <x:c r="F95" s="12"/>
      <x:c r="G95" s="12"/>
      <x:c r="H95" s="12"/>
      <x:c r="I95" s="15"/>
      <x:c r="J95" s="12"/>
      <x:c r="K95" s="12"/>
      <x:c r="L95" s="12"/>
      <x:c r="M95" s="12"/>
      <x:c r="N95" s="12"/>
      <x:c r="O95" s="13"/>
      <x:c r="P95" s="13"/>
      <x:c r="Q95" s="13"/>
      <x:c r="R95" s="13"/>
      <x:c r="S95" s="13"/>
      <x:c r="T95" s="13"/>
      <x:c r="U95" s="14"/>
      <x:c r="V95" s="14"/>
      <x:c r="W95" s="16"/>
      <x:c r="X95" s="16"/>
      <x:c r="Y95" s="14"/>
      <x:c r="Z95" s="66" t="str">
        <x:f t="shared" si="4">IF(A95="","",IF(MAX(LEN(E95),LEN(F95),LEN(G95),LEN(H95))&gt;2*MIN(LEN(E95),LEN(F95),LEN(G95),LEN(H95)),"Review answer lengths",""))</x:f>
      </x:c>
      <x:c r="AA95" s="66" t="str">
        <x:f t="shared" si="5">IF(A95="","",IF(COUNTIF($A$2:$A$301,A95)&gt;1,"Duplicate ID",IF(COUNTIF($D$2:$D$301,D95)&gt;1,"Review repeated text","")))</x:f>
      </x:c>
      <x:c r="AB95" s="66" t="str">
        <x:f t="shared" si="6">IF(A95="","","Unique string or number; no numeric range required")</x:f>
      </x:c>
      <x:c r="AC95" s="66" t="str">
        <x:f>IF(A95="","",IF(OR(B95="",D95="",E95="",F95="",G95="",H95="",J95="",K95="",L95="",M95="",O95="",P95="",AND(I95="",AG95=""),AND(B95&lt;&gt;"repair",B95&lt;&gt;"bridge",C95="")),"INCOMPLETE","CHECK ONLINE"))</x:f>
      </x:c>
      <x:c r="AD95" s="67" t="str">
        <x:f>IF(A95="","",IF(AC95="INCOMPLETE","Fill required fields including RepairSkill and an answer. See Instructions.","Copy all columns with headers to the browser validator for full schema, assets and mode checks."))</x:f>
      </x:c>
      <x:c r="AE95" s="67" t="str">
        <x:f t="shared" si="7">IF(A95="","","https://masteryquests.org/tools/question-bank-validator/")</x:f>
      </x:c>
      <x:c r="AF95" s="60"/>
      <x:c r="AH95" s="60"/>
      <x:c r="AI95" s="60"/>
    </x:row>
    <x:row r="96" ht="45" customHeight="1">
      <x:c r="A96" s="15"/>
      <x:c r="B96" s="15"/>
      <x:c r="C96" s="15"/>
      <x:c r="D96" s="12"/>
      <x:c r="E96" s="12"/>
      <x:c r="F96" s="12"/>
      <x:c r="G96" s="12"/>
      <x:c r="H96" s="12"/>
      <x:c r="I96" s="15"/>
      <x:c r="J96" s="12"/>
      <x:c r="K96" s="12"/>
      <x:c r="L96" s="12"/>
      <x:c r="M96" s="12"/>
      <x:c r="N96" s="12"/>
      <x:c r="O96" s="13"/>
      <x:c r="P96" s="13"/>
      <x:c r="Q96" s="13"/>
      <x:c r="R96" s="13"/>
      <x:c r="S96" s="13"/>
      <x:c r="T96" s="13"/>
      <x:c r="U96" s="14"/>
      <x:c r="V96" s="14"/>
      <x:c r="W96" s="16"/>
      <x:c r="X96" s="16"/>
      <x:c r="Y96" s="14"/>
      <x:c r="Z96" s="66" t="str">
        <x:f t="shared" si="4">IF(A96="","",IF(MAX(LEN(E96),LEN(F96),LEN(G96),LEN(H96))&gt;2*MIN(LEN(E96),LEN(F96),LEN(G96),LEN(H96)),"Review answer lengths",""))</x:f>
      </x:c>
      <x:c r="AA96" s="66" t="str">
        <x:f t="shared" si="5">IF(A96="","",IF(COUNTIF($A$2:$A$301,A96)&gt;1,"Duplicate ID",IF(COUNTIF($D$2:$D$301,D96)&gt;1,"Review repeated text","")))</x:f>
      </x:c>
      <x:c r="AB96" s="66" t="str">
        <x:f t="shared" si="6">IF(A96="","","Unique string or number; no numeric range required")</x:f>
      </x:c>
      <x:c r="AC96" s="66" t="str">
        <x:f>IF(A96="","",IF(OR(B96="",D96="",E96="",F96="",G96="",H96="",J96="",K96="",L96="",M96="",O96="",P96="",AND(I96="",AG96=""),AND(B96&lt;&gt;"repair",B96&lt;&gt;"bridge",C96="")),"INCOMPLETE","CHECK ONLINE"))</x:f>
      </x:c>
      <x:c r="AD96" s="67" t="str">
        <x:f>IF(A96="","",IF(AC96="INCOMPLETE","Fill required fields including RepairSkill and an answer. See Instructions.","Copy all columns with headers to the browser validator for full schema, assets and mode checks."))</x:f>
      </x:c>
      <x:c r="AE96" s="67" t="str">
        <x:f t="shared" si="7">IF(A96="","","https://masteryquests.org/tools/question-bank-validator/")</x:f>
      </x:c>
      <x:c r="AF96" s="60"/>
      <x:c r="AH96" s="60"/>
      <x:c r="AI96" s="60"/>
    </x:row>
    <x:row r="97" ht="45" customHeight="1">
      <x:c r="A97" s="15"/>
      <x:c r="B97" s="15"/>
      <x:c r="C97" s="15"/>
      <x:c r="D97" s="12"/>
      <x:c r="E97" s="12"/>
      <x:c r="F97" s="12"/>
      <x:c r="G97" s="12"/>
      <x:c r="H97" s="12"/>
      <x:c r="I97" s="15"/>
      <x:c r="J97" s="12"/>
      <x:c r="K97" s="12"/>
      <x:c r="L97" s="12"/>
      <x:c r="M97" s="12"/>
      <x:c r="N97" s="12"/>
      <x:c r="O97" s="13"/>
      <x:c r="P97" s="13"/>
      <x:c r="Q97" s="13"/>
      <x:c r="R97" s="13"/>
      <x:c r="S97" s="13"/>
      <x:c r="T97" s="13"/>
      <x:c r="U97" s="14"/>
      <x:c r="V97" s="14"/>
      <x:c r="W97" s="16"/>
      <x:c r="X97" s="16"/>
      <x:c r="Y97" s="14"/>
      <x:c r="Z97" s="66" t="str">
        <x:f t="shared" si="4">IF(A97="","",IF(MAX(LEN(E97),LEN(F97),LEN(G97),LEN(H97))&gt;2*MIN(LEN(E97),LEN(F97),LEN(G97),LEN(H97)),"Review answer lengths",""))</x:f>
      </x:c>
      <x:c r="AA97" s="66" t="str">
        <x:f t="shared" si="5">IF(A97="","",IF(COUNTIF($A$2:$A$301,A97)&gt;1,"Duplicate ID",IF(COUNTIF($D$2:$D$301,D97)&gt;1,"Review repeated text","")))</x:f>
      </x:c>
      <x:c r="AB97" s="66" t="str">
        <x:f t="shared" si="6">IF(A97="","","Unique string or number; no numeric range required")</x:f>
      </x:c>
      <x:c r="AC97" s="66" t="str">
        <x:f>IF(A97="","",IF(OR(B97="",D97="",E97="",F97="",G97="",H97="",J97="",K97="",L97="",M97="",O97="",P97="",AND(I97="",AG97=""),AND(B97&lt;&gt;"repair",B97&lt;&gt;"bridge",C97="")),"INCOMPLETE","CHECK ONLINE"))</x:f>
      </x:c>
      <x:c r="AD97" s="67" t="str">
        <x:f>IF(A97="","",IF(AC97="INCOMPLETE","Fill required fields including RepairSkill and an answer. See Instructions.","Copy all columns with headers to the browser validator for full schema, assets and mode checks."))</x:f>
      </x:c>
      <x:c r="AE97" s="67" t="str">
        <x:f t="shared" si="7">IF(A97="","","https://masteryquests.org/tools/question-bank-validator/")</x:f>
      </x:c>
      <x:c r="AF97" s="60"/>
      <x:c r="AH97" s="60"/>
      <x:c r="AI97" s="60"/>
    </x:row>
    <x:row r="98" ht="45" customHeight="1">
      <x:c r="A98" s="15"/>
      <x:c r="B98" s="15"/>
      <x:c r="C98" s="15"/>
      <x:c r="D98" s="12"/>
      <x:c r="E98" s="12"/>
      <x:c r="F98" s="12"/>
      <x:c r="G98" s="12"/>
      <x:c r="H98" s="12"/>
      <x:c r="I98" s="15"/>
      <x:c r="J98" s="12"/>
      <x:c r="K98" s="12"/>
      <x:c r="L98" s="12"/>
      <x:c r="M98" s="12"/>
      <x:c r="N98" s="12"/>
      <x:c r="O98" s="13"/>
      <x:c r="P98" s="13"/>
      <x:c r="Q98" s="13"/>
      <x:c r="R98" s="13"/>
      <x:c r="S98" s="13"/>
      <x:c r="T98" s="13"/>
      <x:c r="U98" s="14"/>
      <x:c r="V98" s="14"/>
      <x:c r="W98" s="16"/>
      <x:c r="X98" s="16"/>
      <x:c r="Y98" s="14"/>
      <x:c r="Z98" s="66" t="str">
        <x:f t="shared" si="4">IF(A98="","",IF(MAX(LEN(E98),LEN(F98),LEN(G98),LEN(H98))&gt;2*MIN(LEN(E98),LEN(F98),LEN(G98),LEN(H98)),"Review answer lengths",""))</x:f>
      </x:c>
      <x:c r="AA98" s="66" t="str">
        <x:f t="shared" si="5">IF(A98="","",IF(COUNTIF($A$2:$A$301,A98)&gt;1,"Duplicate ID",IF(COUNTIF($D$2:$D$301,D98)&gt;1,"Review repeated text","")))</x:f>
      </x:c>
      <x:c r="AB98" s="66" t="str">
        <x:f t="shared" si="6">IF(A98="","","Unique string or number; no numeric range required")</x:f>
      </x:c>
      <x:c r="AC98" s="66" t="str">
        <x:f>IF(A98="","",IF(OR(B98="",D98="",E98="",F98="",G98="",H98="",J98="",K98="",L98="",M98="",O98="",P98="",AND(I98="",AG98=""),AND(B98&lt;&gt;"repair",B98&lt;&gt;"bridge",C98="")),"INCOMPLETE","CHECK ONLINE"))</x:f>
      </x:c>
      <x:c r="AD98" s="67" t="str">
        <x:f>IF(A98="","",IF(AC98="INCOMPLETE","Fill required fields including RepairSkill and an answer. See Instructions.","Copy all columns with headers to the browser validator for full schema, assets and mode checks."))</x:f>
      </x:c>
      <x:c r="AE98" s="67" t="str">
        <x:f t="shared" si="7">IF(A98="","","https://masteryquests.org/tools/question-bank-validator/")</x:f>
      </x:c>
      <x:c r="AF98" s="60"/>
      <x:c r="AH98" s="60"/>
      <x:c r="AI98" s="60"/>
    </x:row>
    <x:row r="99" ht="45" customHeight="1">
      <x:c r="A99" s="15"/>
      <x:c r="B99" s="15"/>
      <x:c r="C99" s="15"/>
      <x:c r="D99" s="12"/>
      <x:c r="E99" s="12"/>
      <x:c r="F99" s="12"/>
      <x:c r="G99" s="12"/>
      <x:c r="H99" s="12"/>
      <x:c r="I99" s="15"/>
      <x:c r="J99" s="12"/>
      <x:c r="K99" s="12"/>
      <x:c r="L99" s="12"/>
      <x:c r="M99" s="12"/>
      <x:c r="N99" s="12"/>
      <x:c r="O99" s="13"/>
      <x:c r="P99" s="13"/>
      <x:c r="Q99" s="13"/>
      <x:c r="R99" s="13"/>
      <x:c r="S99" s="13"/>
      <x:c r="T99" s="13"/>
      <x:c r="U99" s="14"/>
      <x:c r="V99" s="14"/>
      <x:c r="W99" s="16"/>
      <x:c r="X99" s="16"/>
      <x:c r="Y99" s="14"/>
      <x:c r="Z99" s="66" t="str">
        <x:f t="shared" si="4">IF(A99="","",IF(MAX(LEN(E99),LEN(F99),LEN(G99),LEN(H99))&gt;2*MIN(LEN(E99),LEN(F99),LEN(G99),LEN(H99)),"Review answer lengths",""))</x:f>
      </x:c>
      <x:c r="AA99" s="66" t="str">
        <x:f t="shared" si="5">IF(A99="","",IF(COUNTIF($A$2:$A$301,A99)&gt;1,"Duplicate ID",IF(COUNTIF($D$2:$D$301,D99)&gt;1,"Review repeated text","")))</x:f>
      </x:c>
      <x:c r="AB99" s="66" t="str">
        <x:f t="shared" si="6">IF(A99="","","Unique string or number; no numeric range required")</x:f>
      </x:c>
      <x:c r="AC99" s="66" t="str">
        <x:f>IF(A99="","",IF(OR(B99="",D99="",E99="",F99="",G99="",H99="",J99="",K99="",L99="",M99="",O99="",P99="",AND(I99="",AG99=""),AND(B99&lt;&gt;"repair",B99&lt;&gt;"bridge",C99="")),"INCOMPLETE","CHECK ONLINE"))</x:f>
      </x:c>
      <x:c r="AD99" s="67" t="str">
        <x:f>IF(A99="","",IF(AC99="INCOMPLETE","Fill required fields including RepairSkill and an answer. See Instructions.","Copy all columns with headers to the browser validator for full schema, assets and mode checks."))</x:f>
      </x:c>
      <x:c r="AE99" s="67" t="str">
        <x:f t="shared" si="7">IF(A99="","","https://masteryquests.org/tools/question-bank-validator/")</x:f>
      </x:c>
      <x:c r="AF99" s="60"/>
      <x:c r="AH99" s="60"/>
      <x:c r="AI99" s="60"/>
    </x:row>
    <x:row r="100" ht="45" customHeight="1">
      <x:c r="A100" s="15"/>
      <x:c r="B100" s="15"/>
      <x:c r="C100" s="15"/>
      <x:c r="D100" s="12"/>
      <x:c r="E100" s="12"/>
      <x:c r="F100" s="12"/>
      <x:c r="G100" s="12"/>
      <x:c r="H100" s="12"/>
      <x:c r="I100" s="15"/>
      <x:c r="J100" s="12"/>
      <x:c r="K100" s="12"/>
      <x:c r="L100" s="12"/>
      <x:c r="M100" s="12"/>
      <x:c r="N100" s="12"/>
      <x:c r="O100" s="13"/>
      <x:c r="P100" s="13"/>
      <x:c r="Q100" s="13"/>
      <x:c r="R100" s="13"/>
      <x:c r="S100" s="13"/>
      <x:c r="T100" s="13"/>
      <x:c r="U100" s="14"/>
      <x:c r="V100" s="14"/>
      <x:c r="W100" s="16"/>
      <x:c r="X100" s="16"/>
      <x:c r="Y100" s="14"/>
      <x:c r="Z100" s="66" t="str">
        <x:f t="shared" si="4">IF(A100="","",IF(MAX(LEN(E100),LEN(F100),LEN(G100),LEN(H100))&gt;2*MIN(LEN(E100),LEN(F100),LEN(G100),LEN(H100)),"Review answer lengths",""))</x:f>
      </x:c>
      <x:c r="AA100" s="66" t="str">
        <x:f t="shared" si="5">IF(A100="","",IF(COUNTIF($A$2:$A$301,A100)&gt;1,"Duplicate ID",IF(COUNTIF($D$2:$D$301,D100)&gt;1,"Review repeated text","")))</x:f>
      </x:c>
      <x:c r="AB100" s="66" t="str">
        <x:f t="shared" si="6">IF(A100="","","Unique string or number; no numeric range required")</x:f>
      </x:c>
      <x:c r="AC100" s="66" t="str">
        <x:f>IF(A100="","",IF(OR(B100="",D100="",E100="",F100="",G100="",H100="",J100="",K100="",L100="",M100="",O100="",P100="",AND(I100="",AG100=""),AND(B100&lt;&gt;"repair",B100&lt;&gt;"bridge",C100="")),"INCOMPLETE","CHECK ONLINE"))</x:f>
      </x:c>
      <x:c r="AD100" s="67" t="str">
        <x:f>IF(A100="","",IF(AC100="INCOMPLETE","Fill required fields including RepairSkill and an answer. See Instructions.","Copy all columns with headers to the browser validator for full schema, assets and mode checks."))</x:f>
      </x:c>
      <x:c r="AE100" s="67" t="str">
        <x:f t="shared" si="7">IF(A100="","","https://masteryquests.org/tools/question-bank-validator/")</x:f>
      </x:c>
      <x:c r="AF100" s="60"/>
      <x:c r="AH100" s="60"/>
      <x:c r="AI100" s="60"/>
    </x:row>
    <x:row r="101" ht="45" customHeight="1">
      <x:c r="A101" s="15"/>
      <x:c r="B101" s="15"/>
      <x:c r="C101" s="15"/>
      <x:c r="D101" s="12"/>
      <x:c r="E101" s="12"/>
      <x:c r="F101" s="12"/>
      <x:c r="G101" s="12"/>
      <x:c r="H101" s="12"/>
      <x:c r="I101" s="15"/>
      <x:c r="J101" s="12"/>
      <x:c r="K101" s="12"/>
      <x:c r="L101" s="12"/>
      <x:c r="M101" s="12"/>
      <x:c r="N101" s="12"/>
      <x:c r="O101" s="13"/>
      <x:c r="P101" s="13"/>
      <x:c r="Q101" s="13"/>
      <x:c r="R101" s="13"/>
      <x:c r="S101" s="13"/>
      <x:c r="T101" s="13"/>
      <x:c r="U101" s="14"/>
      <x:c r="V101" s="14"/>
      <x:c r="W101" s="16"/>
      <x:c r="X101" s="16"/>
      <x:c r="Y101" s="14"/>
      <x:c r="Z101" s="66" t="str">
        <x:f t="shared" si="4">IF(A101="","",IF(MAX(LEN(E101),LEN(F101),LEN(G101),LEN(H101))&gt;2*MIN(LEN(E101),LEN(F101),LEN(G101),LEN(H101)),"Review answer lengths",""))</x:f>
      </x:c>
      <x:c r="AA101" s="66" t="str">
        <x:f t="shared" si="5">IF(A101="","",IF(COUNTIF($A$2:$A$301,A101)&gt;1,"Duplicate ID",IF(COUNTIF($D$2:$D$301,D101)&gt;1,"Review repeated text","")))</x:f>
      </x:c>
      <x:c r="AB101" s="66" t="str">
        <x:f t="shared" si="6">IF(A101="","","Unique string or number; no numeric range required")</x:f>
      </x:c>
      <x:c r="AC101" s="66" t="str">
        <x:f>IF(A101="","",IF(OR(B101="",D101="",E101="",F101="",G101="",H101="",J101="",K101="",L101="",M101="",O101="",P101="",AND(I101="",AG101=""),AND(B101&lt;&gt;"repair",B101&lt;&gt;"bridge",C101="")),"INCOMPLETE","CHECK ONLINE"))</x:f>
      </x:c>
      <x:c r="AD101" s="67" t="str">
        <x:f>IF(A101="","",IF(AC101="INCOMPLETE","Fill required fields including RepairSkill and an answer. See Instructions.","Copy all columns with headers to the browser validator for full schema, assets and mode checks."))</x:f>
      </x:c>
      <x:c r="AE101" s="67" t="str">
        <x:f t="shared" si="7">IF(A101="","","https://masteryquests.org/tools/question-bank-validator/")</x:f>
      </x:c>
      <x:c r="AF101" s="60"/>
      <x:c r="AH101" s="60"/>
      <x:c r="AI101" s="60"/>
    </x:row>
    <x:row r="102" ht="45" customHeight="1">
      <x:c r="A102" s="15"/>
      <x:c r="B102" s="15"/>
      <x:c r="C102" s="15"/>
      <x:c r="D102" s="12"/>
      <x:c r="E102" s="12"/>
      <x:c r="F102" s="12"/>
      <x:c r="G102" s="12"/>
      <x:c r="H102" s="12"/>
      <x:c r="I102" s="15"/>
      <x:c r="J102" s="12"/>
      <x:c r="K102" s="12"/>
      <x:c r="L102" s="12"/>
      <x:c r="M102" s="12"/>
      <x:c r="N102" s="12"/>
      <x:c r="O102" s="13"/>
      <x:c r="P102" s="13"/>
      <x:c r="Q102" s="13"/>
      <x:c r="R102" s="13"/>
      <x:c r="S102" s="13"/>
      <x:c r="T102" s="13"/>
      <x:c r="U102" s="14"/>
      <x:c r="V102" s="14"/>
      <x:c r="W102" s="16"/>
      <x:c r="X102" s="16"/>
      <x:c r="Y102" s="14"/>
      <x:c r="Z102" s="66" t="str">
        <x:f t="shared" si="4">IF(A102="","",IF(MAX(LEN(E102),LEN(F102),LEN(G102),LEN(H102))&gt;2*MIN(LEN(E102),LEN(F102),LEN(G102),LEN(H102)),"Review answer lengths",""))</x:f>
      </x:c>
      <x:c r="AA102" s="66" t="str">
        <x:f t="shared" si="5">IF(A102="","",IF(COUNTIF($A$2:$A$301,A102)&gt;1,"Duplicate ID",IF(COUNTIF($D$2:$D$301,D102)&gt;1,"Review repeated text","")))</x:f>
      </x:c>
      <x:c r="AB102" s="66" t="str">
        <x:f t="shared" si="6">IF(A102="","","Unique string or number; no numeric range required")</x:f>
      </x:c>
      <x:c r="AC102" s="66" t="str">
        <x:f>IF(A102="","",IF(OR(B102="",D102="",E102="",F102="",G102="",H102="",J102="",K102="",L102="",M102="",O102="",P102="",AND(I102="",AG102=""),AND(B102&lt;&gt;"repair",B102&lt;&gt;"bridge",C102="")),"INCOMPLETE","CHECK ONLINE"))</x:f>
      </x:c>
      <x:c r="AD102" s="67" t="str">
        <x:f>IF(A102="","",IF(AC102="INCOMPLETE","Fill required fields including RepairSkill and an answer. See Instructions.","Copy all columns with headers to the browser validator for full schema, assets and mode checks."))</x:f>
      </x:c>
      <x:c r="AE102" s="67" t="str">
        <x:f t="shared" si="7">IF(A102="","","https://masteryquests.org/tools/question-bank-validator/")</x:f>
      </x:c>
      <x:c r="AF102" s="60"/>
      <x:c r="AH102" s="60"/>
      <x:c r="AI102" s="60"/>
    </x:row>
    <x:row r="103" ht="45" customHeight="1">
      <x:c r="A103" s="15"/>
      <x:c r="B103" s="15"/>
      <x:c r="C103" s="15"/>
      <x:c r="D103" s="12"/>
      <x:c r="E103" s="12"/>
      <x:c r="F103" s="12"/>
      <x:c r="G103" s="12"/>
      <x:c r="H103" s="12"/>
      <x:c r="I103" s="15"/>
      <x:c r="J103" s="12"/>
      <x:c r="K103" s="12"/>
      <x:c r="L103" s="12"/>
      <x:c r="M103" s="12"/>
      <x:c r="N103" s="12"/>
      <x:c r="O103" s="13"/>
      <x:c r="P103" s="13"/>
      <x:c r="Q103" s="13"/>
      <x:c r="R103" s="13"/>
      <x:c r="S103" s="13"/>
      <x:c r="T103" s="13"/>
      <x:c r="U103" s="14"/>
      <x:c r="V103" s="14"/>
      <x:c r="W103" s="16"/>
      <x:c r="X103" s="16"/>
      <x:c r="Y103" s="14"/>
      <x:c r="Z103" s="66" t="str">
        <x:f t="shared" si="4">IF(A103="","",IF(MAX(LEN(E103),LEN(F103),LEN(G103),LEN(H103))&gt;2*MIN(LEN(E103),LEN(F103),LEN(G103),LEN(H103)),"Review answer lengths",""))</x:f>
      </x:c>
      <x:c r="AA103" s="66" t="str">
        <x:f t="shared" si="5">IF(A103="","",IF(COUNTIF($A$2:$A$301,A103)&gt;1,"Duplicate ID",IF(COUNTIF($D$2:$D$301,D103)&gt;1,"Review repeated text","")))</x:f>
      </x:c>
      <x:c r="AB103" s="66" t="str">
        <x:f t="shared" si="6">IF(A103="","","Unique string or number; no numeric range required")</x:f>
      </x:c>
      <x:c r="AC103" s="66" t="str">
        <x:f>IF(A103="","",IF(OR(B103="",D103="",E103="",F103="",G103="",H103="",J103="",K103="",L103="",M103="",O103="",P103="",AND(I103="",AG103=""),AND(B103&lt;&gt;"repair",B103&lt;&gt;"bridge",C103="")),"INCOMPLETE","CHECK ONLINE"))</x:f>
      </x:c>
      <x:c r="AD103" s="67" t="str">
        <x:f>IF(A103="","",IF(AC103="INCOMPLETE","Fill required fields including RepairSkill and an answer. See Instructions.","Copy all columns with headers to the browser validator for full schema, assets and mode checks."))</x:f>
      </x:c>
      <x:c r="AE103" s="67" t="str">
        <x:f t="shared" si="7">IF(A103="","","https://masteryquests.org/tools/question-bank-validator/")</x:f>
      </x:c>
      <x:c r="AF103" s="60"/>
      <x:c r="AH103" s="60"/>
      <x:c r="AI103" s="60"/>
    </x:row>
    <x:row r="104" ht="45" customHeight="1">
      <x:c r="A104" s="15"/>
      <x:c r="B104" s="15"/>
      <x:c r="C104" s="15"/>
      <x:c r="D104" s="12"/>
      <x:c r="E104" s="12"/>
      <x:c r="F104" s="12"/>
      <x:c r="G104" s="12"/>
      <x:c r="H104" s="12"/>
      <x:c r="I104" s="15"/>
      <x:c r="J104" s="12"/>
      <x:c r="K104" s="12"/>
      <x:c r="L104" s="12"/>
      <x:c r="M104" s="12"/>
      <x:c r="N104" s="12"/>
      <x:c r="O104" s="13"/>
      <x:c r="P104" s="13"/>
      <x:c r="Q104" s="13"/>
      <x:c r="R104" s="13"/>
      <x:c r="S104" s="13"/>
      <x:c r="T104" s="13"/>
      <x:c r="U104" s="14"/>
      <x:c r="V104" s="14"/>
      <x:c r="W104" s="16"/>
      <x:c r="X104" s="16"/>
      <x:c r="Y104" s="14"/>
      <x:c r="Z104" s="66" t="str">
        <x:f t="shared" si="4">IF(A104="","",IF(MAX(LEN(E104),LEN(F104),LEN(G104),LEN(H104))&gt;2*MIN(LEN(E104),LEN(F104),LEN(G104),LEN(H104)),"Review answer lengths",""))</x:f>
      </x:c>
      <x:c r="AA104" s="66" t="str">
        <x:f t="shared" si="5">IF(A104="","",IF(COUNTIF($A$2:$A$301,A104)&gt;1,"Duplicate ID",IF(COUNTIF($D$2:$D$301,D104)&gt;1,"Review repeated text","")))</x:f>
      </x:c>
      <x:c r="AB104" s="66" t="str">
        <x:f t="shared" si="6">IF(A104="","","Unique string or number; no numeric range required")</x:f>
      </x:c>
      <x:c r="AC104" s="66" t="str">
        <x:f>IF(A104="","",IF(OR(B104="",D104="",E104="",F104="",G104="",H104="",J104="",K104="",L104="",M104="",O104="",P104="",AND(I104="",AG104=""),AND(B104&lt;&gt;"repair",B104&lt;&gt;"bridge",C104="")),"INCOMPLETE","CHECK ONLINE"))</x:f>
      </x:c>
      <x:c r="AD104" s="67" t="str">
        <x:f>IF(A104="","",IF(AC104="INCOMPLETE","Fill required fields including RepairSkill and an answer. See Instructions.","Copy all columns with headers to the browser validator for full schema, assets and mode checks."))</x:f>
      </x:c>
      <x:c r="AE104" s="67" t="str">
        <x:f t="shared" si="7">IF(A104="","","https://masteryquests.org/tools/question-bank-validator/")</x:f>
      </x:c>
      <x:c r="AF104" s="60"/>
      <x:c r="AH104" s="60"/>
      <x:c r="AI104" s="60"/>
    </x:row>
    <x:row r="105" ht="45" customHeight="1">
      <x:c r="A105" s="15"/>
      <x:c r="B105" s="15"/>
      <x:c r="C105" s="15"/>
      <x:c r="D105" s="12"/>
      <x:c r="E105" s="12"/>
      <x:c r="F105" s="12"/>
      <x:c r="G105" s="12"/>
      <x:c r="H105" s="12"/>
      <x:c r="I105" s="15"/>
      <x:c r="J105" s="12"/>
      <x:c r="K105" s="12"/>
      <x:c r="L105" s="12"/>
      <x:c r="M105" s="12"/>
      <x:c r="N105" s="12"/>
      <x:c r="O105" s="13"/>
      <x:c r="P105" s="13"/>
      <x:c r="Q105" s="13"/>
      <x:c r="R105" s="13"/>
      <x:c r="S105" s="13"/>
      <x:c r="T105" s="13"/>
      <x:c r="U105" s="14"/>
      <x:c r="V105" s="14"/>
      <x:c r="W105" s="16"/>
      <x:c r="X105" s="16"/>
      <x:c r="Y105" s="14"/>
      <x:c r="Z105" s="66" t="str">
        <x:f t="shared" si="4">IF(A105="","",IF(MAX(LEN(E105),LEN(F105),LEN(G105),LEN(H105))&gt;2*MIN(LEN(E105),LEN(F105),LEN(G105),LEN(H105)),"Review answer lengths",""))</x:f>
      </x:c>
      <x:c r="AA105" s="66" t="str">
        <x:f t="shared" si="5">IF(A105="","",IF(COUNTIF($A$2:$A$301,A105)&gt;1,"Duplicate ID",IF(COUNTIF($D$2:$D$301,D105)&gt;1,"Review repeated text","")))</x:f>
      </x:c>
      <x:c r="AB105" s="66" t="str">
        <x:f t="shared" si="6">IF(A105="","","Unique string or number; no numeric range required")</x:f>
      </x:c>
      <x:c r="AC105" s="66" t="str">
        <x:f>IF(A105="","",IF(OR(B105="",D105="",E105="",F105="",G105="",H105="",J105="",K105="",L105="",M105="",O105="",P105="",AND(I105="",AG105=""),AND(B105&lt;&gt;"repair",B105&lt;&gt;"bridge",C105="")),"INCOMPLETE","CHECK ONLINE"))</x:f>
      </x:c>
      <x:c r="AD105" s="67" t="str">
        <x:f>IF(A105="","",IF(AC105="INCOMPLETE","Fill required fields including RepairSkill and an answer. See Instructions.","Copy all columns with headers to the browser validator for full schema, assets and mode checks."))</x:f>
      </x:c>
      <x:c r="AE105" s="67" t="str">
        <x:f t="shared" si="7">IF(A105="","","https://masteryquests.org/tools/question-bank-validator/")</x:f>
      </x:c>
      <x:c r="AF105" s="60"/>
      <x:c r="AH105" s="60"/>
      <x:c r="AI105" s="60"/>
    </x:row>
    <x:row r="106" ht="45" customHeight="1">
      <x:c r="A106" s="15"/>
      <x:c r="B106" s="15"/>
      <x:c r="C106" s="15"/>
      <x:c r="D106" s="12"/>
      <x:c r="E106" s="12"/>
      <x:c r="F106" s="12"/>
      <x:c r="G106" s="12"/>
      <x:c r="H106" s="12"/>
      <x:c r="I106" s="15"/>
      <x:c r="J106" s="12"/>
      <x:c r="K106" s="12"/>
      <x:c r="L106" s="12"/>
      <x:c r="M106" s="12"/>
      <x:c r="N106" s="12"/>
      <x:c r="O106" s="13"/>
      <x:c r="P106" s="13"/>
      <x:c r="Q106" s="13"/>
      <x:c r="R106" s="13"/>
      <x:c r="S106" s="13"/>
      <x:c r="T106" s="13"/>
      <x:c r="U106" s="14"/>
      <x:c r="V106" s="14"/>
      <x:c r="W106" s="16"/>
      <x:c r="X106" s="16"/>
      <x:c r="Y106" s="14"/>
      <x:c r="Z106" s="66" t="str">
        <x:f t="shared" si="4">IF(A106="","",IF(MAX(LEN(E106),LEN(F106),LEN(G106),LEN(H106))&gt;2*MIN(LEN(E106),LEN(F106),LEN(G106),LEN(H106)),"Review answer lengths",""))</x:f>
      </x:c>
      <x:c r="AA106" s="66" t="str">
        <x:f t="shared" si="5">IF(A106="","",IF(COUNTIF($A$2:$A$301,A106)&gt;1,"Duplicate ID",IF(COUNTIF($D$2:$D$301,D106)&gt;1,"Review repeated text","")))</x:f>
      </x:c>
      <x:c r="AB106" s="66" t="str">
        <x:f t="shared" si="6">IF(A106="","","Unique string or number; no numeric range required")</x:f>
      </x:c>
      <x:c r="AC106" s="66" t="str">
        <x:f>IF(A106="","",IF(OR(B106="",D106="",E106="",F106="",G106="",H106="",J106="",K106="",L106="",M106="",O106="",P106="",AND(I106="",AG106=""),AND(B106&lt;&gt;"repair",B106&lt;&gt;"bridge",C106="")),"INCOMPLETE","CHECK ONLINE"))</x:f>
      </x:c>
      <x:c r="AD106" s="67" t="str">
        <x:f>IF(A106="","",IF(AC106="INCOMPLETE","Fill required fields including RepairSkill and an answer. See Instructions.","Copy all columns with headers to the browser validator for full schema, assets and mode checks."))</x:f>
      </x:c>
      <x:c r="AE106" s="67" t="str">
        <x:f t="shared" si="7">IF(A106="","","https://masteryquests.org/tools/question-bank-validator/")</x:f>
      </x:c>
      <x:c r="AF106" s="60"/>
      <x:c r="AH106" s="60"/>
      <x:c r="AI106" s="60"/>
    </x:row>
    <x:row r="107" ht="45" customHeight="1">
      <x:c r="A107" s="15"/>
      <x:c r="B107" s="15"/>
      <x:c r="C107" s="15"/>
      <x:c r="D107" s="12"/>
      <x:c r="E107" s="12"/>
      <x:c r="F107" s="12"/>
      <x:c r="G107" s="12"/>
      <x:c r="H107" s="12"/>
      <x:c r="I107" s="15"/>
      <x:c r="J107" s="12"/>
      <x:c r="K107" s="12"/>
      <x:c r="L107" s="12"/>
      <x:c r="M107" s="12"/>
      <x:c r="N107" s="12"/>
      <x:c r="O107" s="13"/>
      <x:c r="P107" s="13"/>
      <x:c r="Q107" s="13"/>
      <x:c r="R107" s="13"/>
      <x:c r="S107" s="13"/>
      <x:c r="T107" s="13"/>
      <x:c r="U107" s="14"/>
      <x:c r="V107" s="14"/>
      <x:c r="W107" s="16"/>
      <x:c r="X107" s="16"/>
      <x:c r="Y107" s="14"/>
      <x:c r="Z107" s="66" t="str">
        <x:f t="shared" si="4">IF(A107="","",IF(MAX(LEN(E107),LEN(F107),LEN(G107),LEN(H107))&gt;2*MIN(LEN(E107),LEN(F107),LEN(G107),LEN(H107)),"Review answer lengths",""))</x:f>
      </x:c>
      <x:c r="AA107" s="66" t="str">
        <x:f t="shared" si="5">IF(A107="","",IF(COUNTIF($A$2:$A$301,A107)&gt;1,"Duplicate ID",IF(COUNTIF($D$2:$D$301,D107)&gt;1,"Review repeated text","")))</x:f>
      </x:c>
      <x:c r="AB107" s="66" t="str">
        <x:f t="shared" si="6">IF(A107="","","Unique string or number; no numeric range required")</x:f>
      </x:c>
      <x:c r="AC107" s="66" t="str">
        <x:f>IF(A107="","",IF(OR(B107="",D107="",E107="",F107="",G107="",H107="",J107="",K107="",L107="",M107="",O107="",P107="",AND(I107="",AG107=""),AND(B107&lt;&gt;"repair",B107&lt;&gt;"bridge",C107="")),"INCOMPLETE","CHECK ONLINE"))</x:f>
      </x:c>
      <x:c r="AD107" s="67" t="str">
        <x:f>IF(A107="","",IF(AC107="INCOMPLETE","Fill required fields including RepairSkill and an answer. See Instructions.","Copy all columns with headers to the browser validator for full schema, assets and mode checks."))</x:f>
      </x:c>
      <x:c r="AE107" s="67" t="str">
        <x:f t="shared" si="7">IF(A107="","","https://masteryquests.org/tools/question-bank-validator/")</x:f>
      </x:c>
      <x:c r="AF107" s="60"/>
      <x:c r="AH107" s="60"/>
      <x:c r="AI107" s="60"/>
    </x:row>
    <x:row r="108" ht="45" customHeight="1">
      <x:c r="A108" s="15"/>
      <x:c r="B108" s="15"/>
      <x:c r="C108" s="15"/>
      <x:c r="D108" s="12"/>
      <x:c r="E108" s="12"/>
      <x:c r="F108" s="12"/>
      <x:c r="G108" s="12"/>
      <x:c r="H108" s="12"/>
      <x:c r="I108" s="15"/>
      <x:c r="J108" s="12"/>
      <x:c r="K108" s="12"/>
      <x:c r="L108" s="12"/>
      <x:c r="M108" s="12"/>
      <x:c r="N108" s="12"/>
      <x:c r="O108" s="13"/>
      <x:c r="P108" s="13"/>
      <x:c r="Q108" s="13"/>
      <x:c r="R108" s="13"/>
      <x:c r="S108" s="13"/>
      <x:c r="T108" s="13"/>
      <x:c r="U108" s="14"/>
      <x:c r="V108" s="14"/>
      <x:c r="W108" s="16"/>
      <x:c r="X108" s="16"/>
      <x:c r="Y108" s="14"/>
      <x:c r="Z108" s="66" t="str">
        <x:f t="shared" si="4">IF(A108="","",IF(MAX(LEN(E108),LEN(F108),LEN(G108),LEN(H108))&gt;2*MIN(LEN(E108),LEN(F108),LEN(G108),LEN(H108)),"Review answer lengths",""))</x:f>
      </x:c>
      <x:c r="AA108" s="66" t="str">
        <x:f t="shared" si="5">IF(A108="","",IF(COUNTIF($A$2:$A$301,A108)&gt;1,"Duplicate ID",IF(COUNTIF($D$2:$D$301,D108)&gt;1,"Review repeated text","")))</x:f>
      </x:c>
      <x:c r="AB108" s="66" t="str">
        <x:f t="shared" si="6">IF(A108="","","Unique string or number; no numeric range required")</x:f>
      </x:c>
      <x:c r="AC108" s="66" t="str">
        <x:f>IF(A108="","",IF(OR(B108="",D108="",E108="",F108="",G108="",H108="",J108="",K108="",L108="",M108="",O108="",P108="",AND(I108="",AG108=""),AND(B108&lt;&gt;"repair",B108&lt;&gt;"bridge",C108="")),"INCOMPLETE","CHECK ONLINE"))</x:f>
      </x:c>
      <x:c r="AD108" s="67" t="str">
        <x:f>IF(A108="","",IF(AC108="INCOMPLETE","Fill required fields including RepairSkill and an answer. See Instructions.","Copy all columns with headers to the browser validator for full schema, assets and mode checks."))</x:f>
      </x:c>
      <x:c r="AE108" s="67" t="str">
        <x:f t="shared" si="7">IF(A108="","","https://masteryquests.org/tools/question-bank-validator/")</x:f>
      </x:c>
      <x:c r="AF108" s="60"/>
      <x:c r="AH108" s="60"/>
      <x:c r="AI108" s="60"/>
    </x:row>
    <x:row r="109" ht="45" customHeight="1">
      <x:c r="A109" s="15"/>
      <x:c r="B109" s="15"/>
      <x:c r="C109" s="15"/>
      <x:c r="D109" s="12"/>
      <x:c r="E109" s="12"/>
      <x:c r="F109" s="12"/>
      <x:c r="G109" s="12"/>
      <x:c r="H109" s="12"/>
      <x:c r="I109" s="15"/>
      <x:c r="J109" s="12"/>
      <x:c r="K109" s="12"/>
      <x:c r="L109" s="12"/>
      <x:c r="M109" s="12"/>
      <x:c r="N109" s="12"/>
      <x:c r="O109" s="13"/>
      <x:c r="P109" s="13"/>
      <x:c r="Q109" s="13"/>
      <x:c r="R109" s="13"/>
      <x:c r="S109" s="13"/>
      <x:c r="T109" s="13"/>
      <x:c r="U109" s="14"/>
      <x:c r="V109" s="14"/>
      <x:c r="W109" s="16"/>
      <x:c r="X109" s="16"/>
      <x:c r="Y109" s="14"/>
      <x:c r="Z109" s="66" t="str">
        <x:f t="shared" si="4">IF(A109="","",IF(MAX(LEN(E109),LEN(F109),LEN(G109),LEN(H109))&gt;2*MIN(LEN(E109),LEN(F109),LEN(G109),LEN(H109)),"Review answer lengths",""))</x:f>
      </x:c>
      <x:c r="AA109" s="66" t="str">
        <x:f t="shared" si="5">IF(A109="","",IF(COUNTIF($A$2:$A$301,A109)&gt;1,"Duplicate ID",IF(COUNTIF($D$2:$D$301,D109)&gt;1,"Review repeated text","")))</x:f>
      </x:c>
      <x:c r="AB109" s="66" t="str">
        <x:f t="shared" si="6">IF(A109="","","Unique string or number; no numeric range required")</x:f>
      </x:c>
      <x:c r="AC109" s="66" t="str">
        <x:f>IF(A109="","",IF(OR(B109="",D109="",E109="",F109="",G109="",H109="",J109="",K109="",L109="",M109="",O109="",P109="",AND(I109="",AG109=""),AND(B109&lt;&gt;"repair",B109&lt;&gt;"bridge",C109="")),"INCOMPLETE","CHECK ONLINE"))</x:f>
      </x:c>
      <x:c r="AD109" s="67" t="str">
        <x:f>IF(A109="","",IF(AC109="INCOMPLETE","Fill required fields including RepairSkill and an answer. See Instructions.","Copy all columns with headers to the browser validator for full schema, assets and mode checks."))</x:f>
      </x:c>
      <x:c r="AE109" s="67" t="str">
        <x:f t="shared" si="7">IF(A109="","","https://masteryquests.org/tools/question-bank-validator/")</x:f>
      </x:c>
      <x:c r="AF109" s="60"/>
      <x:c r="AH109" s="60"/>
      <x:c r="AI109" s="60"/>
    </x:row>
    <x:row r="110" ht="45" customHeight="1">
      <x:c r="A110" s="15"/>
      <x:c r="B110" s="15"/>
      <x:c r="C110" s="15"/>
      <x:c r="D110" s="12"/>
      <x:c r="E110" s="12"/>
      <x:c r="F110" s="12"/>
      <x:c r="G110" s="12"/>
      <x:c r="H110" s="12"/>
      <x:c r="I110" s="15"/>
      <x:c r="J110" s="12"/>
      <x:c r="K110" s="12"/>
      <x:c r="L110" s="12"/>
      <x:c r="M110" s="12"/>
      <x:c r="N110" s="12"/>
      <x:c r="O110" s="13"/>
      <x:c r="P110" s="13"/>
      <x:c r="Q110" s="13"/>
      <x:c r="R110" s="13"/>
      <x:c r="S110" s="13"/>
      <x:c r="T110" s="13"/>
      <x:c r="U110" s="14"/>
      <x:c r="V110" s="14"/>
      <x:c r="W110" s="16"/>
      <x:c r="X110" s="16"/>
      <x:c r="Y110" s="14"/>
      <x:c r="Z110" s="66" t="str">
        <x:f t="shared" si="4">IF(A110="","",IF(MAX(LEN(E110),LEN(F110),LEN(G110),LEN(H110))&gt;2*MIN(LEN(E110),LEN(F110),LEN(G110),LEN(H110)),"Review answer lengths",""))</x:f>
      </x:c>
      <x:c r="AA110" s="66" t="str">
        <x:f t="shared" si="5">IF(A110="","",IF(COUNTIF($A$2:$A$301,A110)&gt;1,"Duplicate ID",IF(COUNTIF($D$2:$D$301,D110)&gt;1,"Review repeated text","")))</x:f>
      </x:c>
      <x:c r="AB110" s="66" t="str">
        <x:f t="shared" si="6">IF(A110="","","Unique string or number; no numeric range required")</x:f>
      </x:c>
      <x:c r="AC110" s="66" t="str">
        <x:f>IF(A110="","",IF(OR(B110="",D110="",E110="",F110="",G110="",H110="",J110="",K110="",L110="",M110="",O110="",P110="",AND(I110="",AG110=""),AND(B110&lt;&gt;"repair",B110&lt;&gt;"bridge",C110="")),"INCOMPLETE","CHECK ONLINE"))</x:f>
      </x:c>
      <x:c r="AD110" s="67" t="str">
        <x:f>IF(A110="","",IF(AC110="INCOMPLETE","Fill required fields including RepairSkill and an answer. See Instructions.","Copy all columns with headers to the browser validator for full schema, assets and mode checks."))</x:f>
      </x:c>
      <x:c r="AE110" s="67" t="str">
        <x:f t="shared" si="7">IF(A110="","","https://masteryquests.org/tools/question-bank-validator/")</x:f>
      </x:c>
      <x:c r="AF110" s="60"/>
      <x:c r="AH110" s="60"/>
      <x:c r="AI110" s="60"/>
    </x:row>
    <x:row r="111" ht="45" customHeight="1">
      <x:c r="A111" s="15"/>
      <x:c r="B111" s="15"/>
      <x:c r="C111" s="15"/>
      <x:c r="D111" s="12"/>
      <x:c r="E111" s="12"/>
      <x:c r="F111" s="12"/>
      <x:c r="G111" s="12"/>
      <x:c r="H111" s="12"/>
      <x:c r="I111" s="15"/>
      <x:c r="J111" s="12"/>
      <x:c r="K111" s="12"/>
      <x:c r="L111" s="12"/>
      <x:c r="M111" s="12"/>
      <x:c r="N111" s="12"/>
      <x:c r="O111" s="13"/>
      <x:c r="P111" s="13"/>
      <x:c r="Q111" s="13"/>
      <x:c r="R111" s="13"/>
      <x:c r="S111" s="13"/>
      <x:c r="T111" s="13"/>
      <x:c r="U111" s="14"/>
      <x:c r="V111" s="14"/>
      <x:c r="W111" s="16"/>
      <x:c r="X111" s="16"/>
      <x:c r="Y111" s="14"/>
      <x:c r="Z111" s="66" t="str">
        <x:f t="shared" si="4">IF(A111="","",IF(MAX(LEN(E111),LEN(F111),LEN(G111),LEN(H111))&gt;2*MIN(LEN(E111),LEN(F111),LEN(G111),LEN(H111)),"Review answer lengths",""))</x:f>
      </x:c>
      <x:c r="AA111" s="66" t="str">
        <x:f t="shared" si="5">IF(A111="","",IF(COUNTIF($A$2:$A$301,A111)&gt;1,"Duplicate ID",IF(COUNTIF($D$2:$D$301,D111)&gt;1,"Review repeated text","")))</x:f>
      </x:c>
      <x:c r="AB111" s="66" t="str">
        <x:f t="shared" si="6">IF(A111="","","Unique string or number; no numeric range required")</x:f>
      </x:c>
      <x:c r="AC111" s="66" t="str">
        <x:f>IF(A111="","",IF(OR(B111="",D111="",E111="",F111="",G111="",H111="",J111="",K111="",L111="",M111="",O111="",P111="",AND(I111="",AG111=""),AND(B111&lt;&gt;"repair",B111&lt;&gt;"bridge",C111="")),"INCOMPLETE","CHECK ONLINE"))</x:f>
      </x:c>
      <x:c r="AD111" s="67" t="str">
        <x:f>IF(A111="","",IF(AC111="INCOMPLETE","Fill required fields including RepairSkill and an answer. See Instructions.","Copy all columns with headers to the browser validator for full schema, assets and mode checks."))</x:f>
      </x:c>
      <x:c r="AE111" s="67" t="str">
        <x:f t="shared" si="7">IF(A111="","","https://masteryquests.org/tools/question-bank-validator/")</x:f>
      </x:c>
      <x:c r="AF111" s="60"/>
      <x:c r="AH111" s="60"/>
      <x:c r="AI111" s="60"/>
    </x:row>
    <x:row r="112" ht="45" customHeight="1">
      <x:c r="A112" s="15"/>
      <x:c r="B112" s="15"/>
      <x:c r="C112" s="15"/>
      <x:c r="D112" s="12"/>
      <x:c r="E112" s="12"/>
      <x:c r="F112" s="12"/>
      <x:c r="G112" s="12"/>
      <x:c r="H112" s="12"/>
      <x:c r="I112" s="15"/>
      <x:c r="J112" s="12"/>
      <x:c r="K112" s="12"/>
      <x:c r="L112" s="12"/>
      <x:c r="M112" s="12"/>
      <x:c r="N112" s="12"/>
      <x:c r="O112" s="13"/>
      <x:c r="P112" s="13"/>
      <x:c r="Q112" s="13"/>
      <x:c r="R112" s="13"/>
      <x:c r="S112" s="13"/>
      <x:c r="T112" s="13"/>
      <x:c r="U112" s="14"/>
      <x:c r="V112" s="14"/>
      <x:c r="W112" s="16"/>
      <x:c r="X112" s="16"/>
      <x:c r="Y112" s="14"/>
      <x:c r="Z112" s="66" t="str">
        <x:f t="shared" si="4">IF(A112="","",IF(MAX(LEN(E112),LEN(F112),LEN(G112),LEN(H112))&gt;2*MIN(LEN(E112),LEN(F112),LEN(G112),LEN(H112)),"Review answer lengths",""))</x:f>
      </x:c>
      <x:c r="AA112" s="66" t="str">
        <x:f t="shared" si="5">IF(A112="","",IF(COUNTIF($A$2:$A$301,A112)&gt;1,"Duplicate ID",IF(COUNTIF($D$2:$D$301,D112)&gt;1,"Review repeated text","")))</x:f>
      </x:c>
      <x:c r="AB112" s="66" t="str">
        <x:f t="shared" si="6">IF(A112="","","Unique string or number; no numeric range required")</x:f>
      </x:c>
      <x:c r="AC112" s="66" t="str">
        <x:f>IF(A112="","",IF(OR(B112="",D112="",E112="",F112="",G112="",H112="",J112="",K112="",L112="",M112="",O112="",P112="",AND(I112="",AG112=""),AND(B112&lt;&gt;"repair",B112&lt;&gt;"bridge",C112="")),"INCOMPLETE","CHECK ONLINE"))</x:f>
      </x:c>
      <x:c r="AD112" s="67" t="str">
        <x:f>IF(A112="","",IF(AC112="INCOMPLETE","Fill required fields including RepairSkill and an answer. See Instructions.","Copy all columns with headers to the browser validator for full schema, assets and mode checks."))</x:f>
      </x:c>
      <x:c r="AE112" s="67" t="str">
        <x:f t="shared" si="7">IF(A112="","","https://masteryquests.org/tools/question-bank-validator/")</x:f>
      </x:c>
      <x:c r="AF112" s="60"/>
      <x:c r="AH112" s="60"/>
      <x:c r="AI112" s="60"/>
    </x:row>
    <x:row r="113" ht="45" customHeight="1">
      <x:c r="A113" s="15"/>
      <x:c r="B113" s="15"/>
      <x:c r="C113" s="15"/>
      <x:c r="D113" s="12"/>
      <x:c r="E113" s="12"/>
      <x:c r="F113" s="12"/>
      <x:c r="G113" s="12"/>
      <x:c r="H113" s="12"/>
      <x:c r="I113" s="15"/>
      <x:c r="J113" s="12"/>
      <x:c r="K113" s="12"/>
      <x:c r="L113" s="12"/>
      <x:c r="M113" s="12"/>
      <x:c r="N113" s="12"/>
      <x:c r="O113" s="13"/>
      <x:c r="P113" s="13"/>
      <x:c r="Q113" s="13"/>
      <x:c r="R113" s="13"/>
      <x:c r="S113" s="13"/>
      <x:c r="T113" s="13"/>
      <x:c r="U113" s="14"/>
      <x:c r="V113" s="14"/>
      <x:c r="W113" s="16"/>
      <x:c r="X113" s="16"/>
      <x:c r="Y113" s="14"/>
      <x:c r="Z113" s="66" t="str">
        <x:f t="shared" si="4">IF(A113="","",IF(MAX(LEN(E113),LEN(F113),LEN(G113),LEN(H113))&gt;2*MIN(LEN(E113),LEN(F113),LEN(G113),LEN(H113)),"Review answer lengths",""))</x:f>
      </x:c>
      <x:c r="AA113" s="66" t="str">
        <x:f t="shared" si="5">IF(A113="","",IF(COUNTIF($A$2:$A$301,A113)&gt;1,"Duplicate ID",IF(COUNTIF($D$2:$D$301,D113)&gt;1,"Review repeated text","")))</x:f>
      </x:c>
      <x:c r="AB113" s="66" t="str">
        <x:f t="shared" si="6">IF(A113="","","Unique string or number; no numeric range required")</x:f>
      </x:c>
      <x:c r="AC113" s="66" t="str">
        <x:f>IF(A113="","",IF(OR(B113="",D113="",E113="",F113="",G113="",H113="",J113="",K113="",L113="",M113="",O113="",P113="",AND(I113="",AG113=""),AND(B113&lt;&gt;"repair",B113&lt;&gt;"bridge",C113="")),"INCOMPLETE","CHECK ONLINE"))</x:f>
      </x:c>
      <x:c r="AD113" s="67" t="str">
        <x:f>IF(A113="","",IF(AC113="INCOMPLETE","Fill required fields including RepairSkill and an answer. See Instructions.","Copy all columns with headers to the browser validator for full schema, assets and mode checks."))</x:f>
      </x:c>
      <x:c r="AE113" s="67" t="str">
        <x:f t="shared" si="7">IF(A113="","","https://masteryquests.org/tools/question-bank-validator/")</x:f>
      </x:c>
      <x:c r="AF113" s="60"/>
      <x:c r="AH113" s="60"/>
      <x:c r="AI113" s="60"/>
    </x:row>
    <x:row r="114" ht="45" customHeight="1">
      <x:c r="A114" s="15"/>
      <x:c r="B114" s="15"/>
      <x:c r="C114" s="15"/>
      <x:c r="D114" s="12"/>
      <x:c r="E114" s="12"/>
      <x:c r="F114" s="12"/>
      <x:c r="G114" s="12"/>
      <x:c r="H114" s="12"/>
      <x:c r="I114" s="15"/>
      <x:c r="J114" s="12"/>
      <x:c r="K114" s="12"/>
      <x:c r="L114" s="12"/>
      <x:c r="M114" s="12"/>
      <x:c r="N114" s="12"/>
      <x:c r="O114" s="13"/>
      <x:c r="P114" s="13"/>
      <x:c r="Q114" s="13"/>
      <x:c r="R114" s="13"/>
      <x:c r="S114" s="13"/>
      <x:c r="T114" s="13"/>
      <x:c r="U114" s="14"/>
      <x:c r="V114" s="14"/>
      <x:c r="W114" s="16"/>
      <x:c r="X114" s="16"/>
      <x:c r="Y114" s="14"/>
      <x:c r="Z114" s="66" t="str">
        <x:f t="shared" si="4">IF(A114="","",IF(MAX(LEN(E114),LEN(F114),LEN(G114),LEN(H114))&gt;2*MIN(LEN(E114),LEN(F114),LEN(G114),LEN(H114)),"Review answer lengths",""))</x:f>
      </x:c>
      <x:c r="AA114" s="66" t="str">
        <x:f t="shared" si="5">IF(A114="","",IF(COUNTIF($A$2:$A$301,A114)&gt;1,"Duplicate ID",IF(COUNTIF($D$2:$D$301,D114)&gt;1,"Review repeated text","")))</x:f>
      </x:c>
      <x:c r="AB114" s="66" t="str">
        <x:f t="shared" si="6">IF(A114="","","Unique string or number; no numeric range required")</x:f>
      </x:c>
      <x:c r="AC114" s="66" t="str">
        <x:f>IF(A114="","",IF(OR(B114="",D114="",E114="",F114="",G114="",H114="",J114="",K114="",L114="",M114="",O114="",P114="",AND(I114="",AG114=""),AND(B114&lt;&gt;"repair",B114&lt;&gt;"bridge",C114="")),"INCOMPLETE","CHECK ONLINE"))</x:f>
      </x:c>
      <x:c r="AD114" s="67" t="str">
        <x:f>IF(A114="","",IF(AC114="INCOMPLETE","Fill required fields including RepairSkill and an answer. See Instructions.","Copy all columns with headers to the browser validator for full schema, assets and mode checks."))</x:f>
      </x:c>
      <x:c r="AE114" s="67" t="str">
        <x:f t="shared" si="7">IF(A114="","","https://masteryquests.org/tools/question-bank-validator/")</x:f>
      </x:c>
      <x:c r="AF114" s="60"/>
      <x:c r="AH114" s="60"/>
      <x:c r="AI114" s="60"/>
    </x:row>
    <x:row r="115" ht="45" customHeight="1">
      <x:c r="A115" s="15"/>
      <x:c r="B115" s="15"/>
      <x:c r="C115" s="15"/>
      <x:c r="D115" s="12"/>
      <x:c r="E115" s="12"/>
      <x:c r="F115" s="12"/>
      <x:c r="G115" s="12"/>
      <x:c r="H115" s="12"/>
      <x:c r="I115" s="15"/>
      <x:c r="J115" s="12"/>
      <x:c r="K115" s="12"/>
      <x:c r="L115" s="12"/>
      <x:c r="M115" s="12"/>
      <x:c r="N115" s="12"/>
      <x:c r="O115" s="13"/>
      <x:c r="P115" s="13"/>
      <x:c r="Q115" s="13"/>
      <x:c r="R115" s="13"/>
      <x:c r="S115" s="13"/>
      <x:c r="T115" s="13"/>
      <x:c r="U115" s="14"/>
      <x:c r="V115" s="14"/>
      <x:c r="W115" s="16"/>
      <x:c r="X115" s="16"/>
      <x:c r="Y115" s="14"/>
      <x:c r="Z115" s="66" t="str">
        <x:f t="shared" si="4">IF(A115="","",IF(MAX(LEN(E115),LEN(F115),LEN(G115),LEN(H115))&gt;2*MIN(LEN(E115),LEN(F115),LEN(G115),LEN(H115)),"Review answer lengths",""))</x:f>
      </x:c>
      <x:c r="AA115" s="66" t="str">
        <x:f t="shared" si="5">IF(A115="","",IF(COUNTIF($A$2:$A$301,A115)&gt;1,"Duplicate ID",IF(COUNTIF($D$2:$D$301,D115)&gt;1,"Review repeated text","")))</x:f>
      </x:c>
      <x:c r="AB115" s="66" t="str">
        <x:f t="shared" si="6">IF(A115="","","Unique string or number; no numeric range required")</x:f>
      </x:c>
      <x:c r="AC115" s="66" t="str">
        <x:f>IF(A115="","",IF(OR(B115="",D115="",E115="",F115="",G115="",H115="",J115="",K115="",L115="",M115="",O115="",P115="",AND(I115="",AG115=""),AND(B115&lt;&gt;"repair",B115&lt;&gt;"bridge",C115="")),"INCOMPLETE","CHECK ONLINE"))</x:f>
      </x:c>
      <x:c r="AD115" s="67" t="str">
        <x:f>IF(A115="","",IF(AC115="INCOMPLETE","Fill required fields including RepairSkill and an answer. See Instructions.","Copy all columns with headers to the browser validator for full schema, assets and mode checks."))</x:f>
      </x:c>
      <x:c r="AE115" s="67" t="str">
        <x:f t="shared" si="7">IF(A115="","","https://masteryquests.org/tools/question-bank-validator/")</x:f>
      </x:c>
      <x:c r="AF115" s="60"/>
      <x:c r="AH115" s="60"/>
      <x:c r="AI115" s="60"/>
    </x:row>
    <x:row r="116" ht="45" customHeight="1">
      <x:c r="A116" s="15"/>
      <x:c r="B116" s="15"/>
      <x:c r="C116" s="15"/>
      <x:c r="D116" s="12"/>
      <x:c r="E116" s="12"/>
      <x:c r="F116" s="12"/>
      <x:c r="G116" s="12"/>
      <x:c r="H116" s="12"/>
      <x:c r="I116" s="15"/>
      <x:c r="J116" s="12"/>
      <x:c r="K116" s="12"/>
      <x:c r="L116" s="12"/>
      <x:c r="M116" s="12"/>
      <x:c r="N116" s="12"/>
      <x:c r="O116" s="13"/>
      <x:c r="P116" s="13"/>
      <x:c r="Q116" s="13"/>
      <x:c r="R116" s="13"/>
      <x:c r="S116" s="13"/>
      <x:c r="T116" s="13"/>
      <x:c r="U116" s="14"/>
      <x:c r="V116" s="14"/>
      <x:c r="W116" s="16"/>
      <x:c r="X116" s="16"/>
      <x:c r="Y116" s="14"/>
      <x:c r="Z116" s="66" t="str">
        <x:f t="shared" si="4">IF(A116="","",IF(MAX(LEN(E116),LEN(F116),LEN(G116),LEN(H116))&gt;2*MIN(LEN(E116),LEN(F116),LEN(G116),LEN(H116)),"Review answer lengths",""))</x:f>
      </x:c>
      <x:c r="AA116" s="66" t="str">
        <x:f t="shared" si="5">IF(A116="","",IF(COUNTIF($A$2:$A$301,A116)&gt;1,"Duplicate ID",IF(COUNTIF($D$2:$D$301,D116)&gt;1,"Review repeated text","")))</x:f>
      </x:c>
      <x:c r="AB116" s="66" t="str">
        <x:f t="shared" si="6">IF(A116="","","Unique string or number; no numeric range required")</x:f>
      </x:c>
      <x:c r="AC116" s="66" t="str">
        <x:f>IF(A116="","",IF(OR(B116="",D116="",E116="",F116="",G116="",H116="",J116="",K116="",L116="",M116="",O116="",P116="",AND(I116="",AG116=""),AND(B116&lt;&gt;"repair",B116&lt;&gt;"bridge",C116="")),"INCOMPLETE","CHECK ONLINE"))</x:f>
      </x:c>
      <x:c r="AD116" s="67" t="str">
        <x:f>IF(A116="","",IF(AC116="INCOMPLETE","Fill required fields including RepairSkill and an answer. See Instructions.","Copy all columns with headers to the browser validator for full schema, assets and mode checks."))</x:f>
      </x:c>
      <x:c r="AE116" s="67" t="str">
        <x:f t="shared" si="7">IF(A116="","","https://masteryquests.org/tools/question-bank-validator/")</x:f>
      </x:c>
      <x:c r="AF116" s="60"/>
      <x:c r="AH116" s="60"/>
      <x:c r="AI116" s="60"/>
    </x:row>
    <x:row r="117" ht="45" customHeight="1">
      <x:c r="A117" s="15"/>
      <x:c r="B117" s="15"/>
      <x:c r="C117" s="15"/>
      <x:c r="D117" s="12"/>
      <x:c r="E117" s="12"/>
      <x:c r="F117" s="12"/>
      <x:c r="G117" s="12"/>
      <x:c r="H117" s="12"/>
      <x:c r="I117" s="15"/>
      <x:c r="J117" s="12"/>
      <x:c r="K117" s="12"/>
      <x:c r="L117" s="12"/>
      <x:c r="M117" s="12"/>
      <x:c r="N117" s="12"/>
      <x:c r="O117" s="13"/>
      <x:c r="P117" s="13"/>
      <x:c r="Q117" s="13"/>
      <x:c r="R117" s="13"/>
      <x:c r="S117" s="13"/>
      <x:c r="T117" s="13"/>
      <x:c r="U117" s="14"/>
      <x:c r="V117" s="14"/>
      <x:c r="W117" s="16"/>
      <x:c r="X117" s="16"/>
      <x:c r="Y117" s="14"/>
      <x:c r="Z117" s="66" t="str">
        <x:f t="shared" si="4">IF(A117="","",IF(MAX(LEN(E117),LEN(F117),LEN(G117),LEN(H117))&gt;2*MIN(LEN(E117),LEN(F117),LEN(G117),LEN(H117)),"Review answer lengths",""))</x:f>
      </x:c>
      <x:c r="AA117" s="66" t="str">
        <x:f t="shared" si="5">IF(A117="","",IF(COUNTIF($A$2:$A$301,A117)&gt;1,"Duplicate ID",IF(COUNTIF($D$2:$D$301,D117)&gt;1,"Review repeated text","")))</x:f>
      </x:c>
      <x:c r="AB117" s="66" t="str">
        <x:f t="shared" si="6">IF(A117="","","Unique string or number; no numeric range required")</x:f>
      </x:c>
      <x:c r="AC117" s="66" t="str">
        <x:f>IF(A117="","",IF(OR(B117="",D117="",E117="",F117="",G117="",H117="",J117="",K117="",L117="",M117="",O117="",P117="",AND(I117="",AG117=""),AND(B117&lt;&gt;"repair",B117&lt;&gt;"bridge",C117="")),"INCOMPLETE","CHECK ONLINE"))</x:f>
      </x:c>
      <x:c r="AD117" s="67" t="str">
        <x:f>IF(A117="","",IF(AC117="INCOMPLETE","Fill required fields including RepairSkill and an answer. See Instructions.","Copy all columns with headers to the browser validator for full schema, assets and mode checks."))</x:f>
      </x:c>
      <x:c r="AE117" s="67" t="str">
        <x:f t="shared" si="7">IF(A117="","","https://masteryquests.org/tools/question-bank-validator/")</x:f>
      </x:c>
      <x:c r="AF117" s="60"/>
      <x:c r="AH117" s="60"/>
      <x:c r="AI117" s="60"/>
    </x:row>
    <x:row r="118" ht="45" customHeight="1">
      <x:c r="A118" s="15"/>
      <x:c r="B118" s="15"/>
      <x:c r="C118" s="15"/>
      <x:c r="D118" s="12"/>
      <x:c r="E118" s="12"/>
      <x:c r="F118" s="12"/>
      <x:c r="G118" s="12"/>
      <x:c r="H118" s="12"/>
      <x:c r="I118" s="15"/>
      <x:c r="J118" s="12"/>
      <x:c r="K118" s="12"/>
      <x:c r="L118" s="12"/>
      <x:c r="M118" s="12"/>
      <x:c r="N118" s="12"/>
      <x:c r="O118" s="13"/>
      <x:c r="P118" s="13"/>
      <x:c r="Q118" s="13"/>
      <x:c r="R118" s="13"/>
      <x:c r="S118" s="13"/>
      <x:c r="T118" s="13"/>
      <x:c r="U118" s="14"/>
      <x:c r="V118" s="14"/>
      <x:c r="W118" s="16"/>
      <x:c r="X118" s="16"/>
      <x:c r="Y118" s="14"/>
      <x:c r="Z118" s="66" t="str">
        <x:f t="shared" si="4">IF(A118="","",IF(MAX(LEN(E118),LEN(F118),LEN(G118),LEN(H118))&gt;2*MIN(LEN(E118),LEN(F118),LEN(G118),LEN(H118)),"Review answer lengths",""))</x:f>
      </x:c>
      <x:c r="AA118" s="66" t="str">
        <x:f t="shared" si="5">IF(A118="","",IF(COUNTIF($A$2:$A$301,A118)&gt;1,"Duplicate ID",IF(COUNTIF($D$2:$D$301,D118)&gt;1,"Review repeated text","")))</x:f>
      </x:c>
      <x:c r="AB118" s="66" t="str">
        <x:f t="shared" si="6">IF(A118="","","Unique string or number; no numeric range required")</x:f>
      </x:c>
      <x:c r="AC118" s="66" t="str">
        <x:f>IF(A118="","",IF(OR(B118="",D118="",E118="",F118="",G118="",H118="",J118="",K118="",L118="",M118="",O118="",P118="",AND(I118="",AG118=""),AND(B118&lt;&gt;"repair",B118&lt;&gt;"bridge",C118="")),"INCOMPLETE","CHECK ONLINE"))</x:f>
      </x:c>
      <x:c r="AD118" s="67" t="str">
        <x:f>IF(A118="","",IF(AC118="INCOMPLETE","Fill required fields including RepairSkill and an answer. See Instructions.","Copy all columns with headers to the browser validator for full schema, assets and mode checks."))</x:f>
      </x:c>
      <x:c r="AE118" s="67" t="str">
        <x:f t="shared" si="7">IF(A118="","","https://masteryquests.org/tools/question-bank-validator/")</x:f>
      </x:c>
      <x:c r="AF118" s="60"/>
      <x:c r="AH118" s="60"/>
      <x:c r="AI118" s="60"/>
    </x:row>
    <x:row r="119" ht="45" customHeight="1">
      <x:c r="A119" s="15"/>
      <x:c r="B119" s="15"/>
      <x:c r="C119" s="15"/>
      <x:c r="D119" s="12"/>
      <x:c r="E119" s="12"/>
      <x:c r="F119" s="12"/>
      <x:c r="G119" s="12"/>
      <x:c r="H119" s="12"/>
      <x:c r="I119" s="15"/>
      <x:c r="J119" s="12"/>
      <x:c r="K119" s="12"/>
      <x:c r="L119" s="12"/>
      <x:c r="M119" s="12"/>
      <x:c r="N119" s="12"/>
      <x:c r="O119" s="13"/>
      <x:c r="P119" s="13"/>
      <x:c r="Q119" s="13"/>
      <x:c r="R119" s="13"/>
      <x:c r="S119" s="13"/>
      <x:c r="T119" s="13"/>
      <x:c r="U119" s="14"/>
      <x:c r="V119" s="14"/>
      <x:c r="W119" s="16"/>
      <x:c r="X119" s="16"/>
      <x:c r="Y119" s="14"/>
      <x:c r="Z119" s="66" t="str">
        <x:f t="shared" si="4">IF(A119="","",IF(MAX(LEN(E119),LEN(F119),LEN(G119),LEN(H119))&gt;2*MIN(LEN(E119),LEN(F119),LEN(G119),LEN(H119)),"Review answer lengths",""))</x:f>
      </x:c>
      <x:c r="AA119" s="66" t="str">
        <x:f t="shared" si="5">IF(A119="","",IF(COUNTIF($A$2:$A$301,A119)&gt;1,"Duplicate ID",IF(COUNTIF($D$2:$D$301,D119)&gt;1,"Review repeated text","")))</x:f>
      </x:c>
      <x:c r="AB119" s="66" t="str">
        <x:f t="shared" si="6">IF(A119="","","Unique string or number; no numeric range required")</x:f>
      </x:c>
      <x:c r="AC119" s="66" t="str">
        <x:f>IF(A119="","",IF(OR(B119="",D119="",E119="",F119="",G119="",H119="",J119="",K119="",L119="",M119="",O119="",P119="",AND(I119="",AG119=""),AND(B119&lt;&gt;"repair",B119&lt;&gt;"bridge",C119="")),"INCOMPLETE","CHECK ONLINE"))</x:f>
      </x:c>
      <x:c r="AD119" s="67" t="str">
        <x:f>IF(A119="","",IF(AC119="INCOMPLETE","Fill required fields including RepairSkill and an answer. See Instructions.","Copy all columns with headers to the browser validator for full schema, assets and mode checks."))</x:f>
      </x:c>
      <x:c r="AE119" s="67" t="str">
        <x:f t="shared" si="7">IF(A119="","","https://masteryquests.org/tools/question-bank-validator/")</x:f>
      </x:c>
      <x:c r="AF119" s="60"/>
      <x:c r="AH119" s="60"/>
      <x:c r="AI119" s="60"/>
    </x:row>
    <x:row r="120" ht="45" customHeight="1">
      <x:c r="A120" s="15"/>
      <x:c r="B120" s="15"/>
      <x:c r="C120" s="15"/>
      <x:c r="D120" s="12"/>
      <x:c r="E120" s="12"/>
      <x:c r="F120" s="12"/>
      <x:c r="G120" s="12"/>
      <x:c r="H120" s="12"/>
      <x:c r="I120" s="15"/>
      <x:c r="J120" s="12"/>
      <x:c r="K120" s="12"/>
      <x:c r="L120" s="12"/>
      <x:c r="M120" s="12"/>
      <x:c r="N120" s="12"/>
      <x:c r="O120" s="13"/>
      <x:c r="P120" s="13"/>
      <x:c r="Q120" s="13"/>
      <x:c r="R120" s="13"/>
      <x:c r="S120" s="13"/>
      <x:c r="T120" s="13"/>
      <x:c r="U120" s="14"/>
      <x:c r="V120" s="14"/>
      <x:c r="W120" s="16"/>
      <x:c r="X120" s="16"/>
      <x:c r="Y120" s="14"/>
      <x:c r="Z120" s="66" t="str">
        <x:f t="shared" si="4">IF(A120="","",IF(MAX(LEN(E120),LEN(F120),LEN(G120),LEN(H120))&gt;2*MIN(LEN(E120),LEN(F120),LEN(G120),LEN(H120)),"Review answer lengths",""))</x:f>
      </x:c>
      <x:c r="AA120" s="66" t="str">
        <x:f t="shared" si="5">IF(A120="","",IF(COUNTIF($A$2:$A$301,A120)&gt;1,"Duplicate ID",IF(COUNTIF($D$2:$D$301,D120)&gt;1,"Review repeated text","")))</x:f>
      </x:c>
      <x:c r="AB120" s="66" t="str">
        <x:f t="shared" si="6">IF(A120="","","Unique string or number; no numeric range required")</x:f>
      </x:c>
      <x:c r="AC120" s="66" t="str">
        <x:f>IF(A120="","",IF(OR(B120="",D120="",E120="",F120="",G120="",H120="",J120="",K120="",L120="",M120="",O120="",P120="",AND(I120="",AG120=""),AND(B120&lt;&gt;"repair",B120&lt;&gt;"bridge",C120="")),"INCOMPLETE","CHECK ONLINE"))</x:f>
      </x:c>
      <x:c r="AD120" s="67" t="str">
        <x:f>IF(A120="","",IF(AC120="INCOMPLETE","Fill required fields including RepairSkill and an answer. See Instructions.","Copy all columns with headers to the browser validator for full schema, assets and mode checks."))</x:f>
      </x:c>
      <x:c r="AE120" s="67" t="str">
        <x:f t="shared" si="7">IF(A120="","","https://masteryquests.org/tools/question-bank-validator/")</x:f>
      </x:c>
      <x:c r="AF120" s="60"/>
      <x:c r="AH120" s="60"/>
      <x:c r="AI120" s="60"/>
    </x:row>
    <x:row r="121" ht="45" customHeight="1">
      <x:c r="A121" s="15"/>
      <x:c r="B121" s="15"/>
      <x:c r="C121" s="15"/>
      <x:c r="D121" s="12"/>
      <x:c r="E121" s="12"/>
      <x:c r="F121" s="12"/>
      <x:c r="G121" s="12"/>
      <x:c r="H121" s="12"/>
      <x:c r="I121" s="15"/>
      <x:c r="J121" s="12"/>
      <x:c r="K121" s="12"/>
      <x:c r="L121" s="12"/>
      <x:c r="M121" s="12"/>
      <x:c r="N121" s="12"/>
      <x:c r="O121" s="13"/>
      <x:c r="P121" s="13"/>
      <x:c r="Q121" s="13"/>
      <x:c r="R121" s="13"/>
      <x:c r="S121" s="13"/>
      <x:c r="T121" s="13"/>
      <x:c r="U121" s="14"/>
      <x:c r="V121" s="14"/>
      <x:c r="W121" s="16"/>
      <x:c r="X121" s="16"/>
      <x:c r="Y121" s="14"/>
      <x:c r="Z121" s="66" t="str">
        <x:f t="shared" si="4">IF(A121="","",IF(MAX(LEN(E121),LEN(F121),LEN(G121),LEN(H121))&gt;2*MIN(LEN(E121),LEN(F121),LEN(G121),LEN(H121)),"Review answer lengths",""))</x:f>
      </x:c>
      <x:c r="AA121" s="66" t="str">
        <x:f t="shared" si="5">IF(A121="","",IF(COUNTIF($A$2:$A$301,A121)&gt;1,"Duplicate ID",IF(COUNTIF($D$2:$D$301,D121)&gt;1,"Review repeated text","")))</x:f>
      </x:c>
      <x:c r="AB121" s="66" t="str">
        <x:f t="shared" si="6">IF(A121="","","Unique string or number; no numeric range required")</x:f>
      </x:c>
      <x:c r="AC121" s="66" t="str">
        <x:f>IF(A121="","",IF(OR(B121="",D121="",E121="",F121="",G121="",H121="",J121="",K121="",L121="",M121="",O121="",P121="",AND(I121="",AG121=""),AND(B121&lt;&gt;"repair",B121&lt;&gt;"bridge",C121="")),"INCOMPLETE","CHECK ONLINE"))</x:f>
      </x:c>
      <x:c r="AD121" s="67" t="str">
        <x:f>IF(A121="","",IF(AC121="INCOMPLETE","Fill required fields including RepairSkill and an answer. See Instructions.","Copy all columns with headers to the browser validator for full schema, assets and mode checks."))</x:f>
      </x:c>
      <x:c r="AE121" s="67" t="str">
        <x:f t="shared" si="7">IF(A121="","","https://masteryquests.org/tools/question-bank-validator/")</x:f>
      </x:c>
      <x:c r="AF121" s="60"/>
      <x:c r="AH121" s="60"/>
      <x:c r="AI121" s="60"/>
    </x:row>
    <x:row r="122" ht="45" customHeight="1">
      <x:c r="A122" s="15"/>
      <x:c r="B122" s="15"/>
      <x:c r="C122" s="15"/>
      <x:c r="D122" s="12"/>
      <x:c r="E122" s="12"/>
      <x:c r="F122" s="12"/>
      <x:c r="G122" s="12"/>
      <x:c r="H122" s="12"/>
      <x:c r="I122" s="15"/>
      <x:c r="J122" s="12"/>
      <x:c r="K122" s="12"/>
      <x:c r="L122" s="12"/>
      <x:c r="M122" s="12"/>
      <x:c r="N122" s="12"/>
      <x:c r="O122" s="13"/>
      <x:c r="P122" s="13"/>
      <x:c r="Q122" s="13"/>
      <x:c r="R122" s="13"/>
      <x:c r="S122" s="13"/>
      <x:c r="T122" s="13"/>
      <x:c r="U122" s="14"/>
      <x:c r="V122" s="14"/>
      <x:c r="W122" s="16"/>
      <x:c r="X122" s="16"/>
      <x:c r="Y122" s="14"/>
      <x:c r="Z122" s="66" t="str">
        <x:f t="shared" si="4">IF(A122="","",IF(MAX(LEN(E122),LEN(F122),LEN(G122),LEN(H122))&gt;2*MIN(LEN(E122),LEN(F122),LEN(G122),LEN(H122)),"Review answer lengths",""))</x:f>
      </x:c>
      <x:c r="AA122" s="66" t="str">
        <x:f t="shared" si="5">IF(A122="","",IF(COUNTIF($A$2:$A$301,A122)&gt;1,"Duplicate ID",IF(COUNTIF($D$2:$D$301,D122)&gt;1,"Review repeated text","")))</x:f>
      </x:c>
      <x:c r="AB122" s="66" t="str">
        <x:f t="shared" si="6">IF(A122="","","Unique string or number; no numeric range required")</x:f>
      </x:c>
      <x:c r="AC122" s="66" t="str">
        <x:f>IF(A122="","",IF(OR(B122="",D122="",E122="",F122="",G122="",H122="",J122="",K122="",L122="",M122="",O122="",P122="",AND(I122="",AG122=""),AND(B122&lt;&gt;"repair",B122&lt;&gt;"bridge",C122="")),"INCOMPLETE","CHECK ONLINE"))</x:f>
      </x:c>
      <x:c r="AD122" s="67" t="str">
        <x:f>IF(A122="","",IF(AC122="INCOMPLETE","Fill required fields including RepairSkill and an answer. See Instructions.","Copy all columns with headers to the browser validator for full schema, assets and mode checks."))</x:f>
      </x:c>
      <x:c r="AE122" s="67" t="str">
        <x:f t="shared" si="7">IF(A122="","","https://masteryquests.org/tools/question-bank-validator/")</x:f>
      </x:c>
      <x:c r="AF122" s="60"/>
      <x:c r="AH122" s="60"/>
      <x:c r="AI122" s="60"/>
    </x:row>
    <x:row r="123" ht="45" customHeight="1">
      <x:c r="A123" s="15"/>
      <x:c r="B123" s="15"/>
      <x:c r="C123" s="15"/>
      <x:c r="D123" s="12"/>
      <x:c r="E123" s="12"/>
      <x:c r="F123" s="12"/>
      <x:c r="G123" s="12"/>
      <x:c r="H123" s="12"/>
      <x:c r="I123" s="15"/>
      <x:c r="J123" s="12"/>
      <x:c r="K123" s="12"/>
      <x:c r="L123" s="12"/>
      <x:c r="M123" s="12"/>
      <x:c r="N123" s="12"/>
      <x:c r="O123" s="13"/>
      <x:c r="P123" s="13"/>
      <x:c r="Q123" s="13"/>
      <x:c r="R123" s="13"/>
      <x:c r="S123" s="13"/>
      <x:c r="T123" s="13"/>
      <x:c r="U123" s="14"/>
      <x:c r="V123" s="14"/>
      <x:c r="W123" s="16"/>
      <x:c r="X123" s="16"/>
      <x:c r="Y123" s="14"/>
      <x:c r="Z123" s="66" t="str">
        <x:f t="shared" si="4">IF(A123="","",IF(MAX(LEN(E123),LEN(F123),LEN(G123),LEN(H123))&gt;2*MIN(LEN(E123),LEN(F123),LEN(G123),LEN(H123)),"Review answer lengths",""))</x:f>
      </x:c>
      <x:c r="AA123" s="66" t="str">
        <x:f t="shared" si="5">IF(A123="","",IF(COUNTIF($A$2:$A$301,A123)&gt;1,"Duplicate ID",IF(COUNTIF($D$2:$D$301,D123)&gt;1,"Review repeated text","")))</x:f>
      </x:c>
      <x:c r="AB123" s="66" t="str">
        <x:f t="shared" si="6">IF(A123="","","Unique string or number; no numeric range required")</x:f>
      </x:c>
      <x:c r="AC123" s="66" t="str">
        <x:f>IF(A123="","",IF(OR(B123="",D123="",E123="",F123="",G123="",H123="",J123="",K123="",L123="",M123="",O123="",P123="",AND(I123="",AG123=""),AND(B123&lt;&gt;"repair",B123&lt;&gt;"bridge",C123="")),"INCOMPLETE","CHECK ONLINE"))</x:f>
      </x:c>
      <x:c r="AD123" s="67" t="str">
        <x:f>IF(A123="","",IF(AC123="INCOMPLETE","Fill required fields including RepairSkill and an answer. See Instructions.","Copy all columns with headers to the browser validator for full schema, assets and mode checks."))</x:f>
      </x:c>
      <x:c r="AE123" s="67" t="str">
        <x:f t="shared" si="7">IF(A123="","","https://masteryquests.org/tools/question-bank-validator/")</x:f>
      </x:c>
      <x:c r="AF123" s="60"/>
      <x:c r="AH123" s="60"/>
      <x:c r="AI123" s="60"/>
    </x:row>
    <x:row r="124" ht="45" customHeight="1">
      <x:c r="A124" s="15"/>
      <x:c r="B124" s="15"/>
      <x:c r="C124" s="15"/>
      <x:c r="D124" s="12"/>
      <x:c r="E124" s="12"/>
      <x:c r="F124" s="12"/>
      <x:c r="G124" s="12"/>
      <x:c r="H124" s="12"/>
      <x:c r="I124" s="15"/>
      <x:c r="J124" s="12"/>
      <x:c r="K124" s="12"/>
      <x:c r="L124" s="12"/>
      <x:c r="M124" s="12"/>
      <x:c r="N124" s="12"/>
      <x:c r="O124" s="13"/>
      <x:c r="P124" s="13"/>
      <x:c r="Q124" s="13"/>
      <x:c r="R124" s="13"/>
      <x:c r="S124" s="13"/>
      <x:c r="T124" s="13"/>
      <x:c r="U124" s="14"/>
      <x:c r="V124" s="14"/>
      <x:c r="W124" s="16"/>
      <x:c r="X124" s="16"/>
      <x:c r="Y124" s="14"/>
      <x:c r="Z124" s="66" t="str">
        <x:f t="shared" si="4">IF(A124="","",IF(MAX(LEN(E124),LEN(F124),LEN(G124),LEN(H124))&gt;2*MIN(LEN(E124),LEN(F124),LEN(G124),LEN(H124)),"Review answer lengths",""))</x:f>
      </x:c>
      <x:c r="AA124" s="66" t="str">
        <x:f t="shared" si="5">IF(A124="","",IF(COUNTIF($A$2:$A$301,A124)&gt;1,"Duplicate ID",IF(COUNTIF($D$2:$D$301,D124)&gt;1,"Review repeated text","")))</x:f>
      </x:c>
      <x:c r="AB124" s="66" t="str">
        <x:f t="shared" si="6">IF(A124="","","Unique string or number; no numeric range required")</x:f>
      </x:c>
      <x:c r="AC124" s="66" t="str">
        <x:f>IF(A124="","",IF(OR(B124="",D124="",E124="",F124="",G124="",H124="",J124="",K124="",L124="",M124="",O124="",P124="",AND(I124="",AG124=""),AND(B124&lt;&gt;"repair",B124&lt;&gt;"bridge",C124="")),"INCOMPLETE","CHECK ONLINE"))</x:f>
      </x:c>
      <x:c r="AD124" s="67" t="str">
        <x:f>IF(A124="","",IF(AC124="INCOMPLETE","Fill required fields including RepairSkill and an answer. See Instructions.","Copy all columns with headers to the browser validator for full schema, assets and mode checks."))</x:f>
      </x:c>
      <x:c r="AE124" s="67" t="str">
        <x:f t="shared" si="7">IF(A124="","","https://masteryquests.org/tools/question-bank-validator/")</x:f>
      </x:c>
      <x:c r="AF124" s="60"/>
      <x:c r="AH124" s="60"/>
      <x:c r="AI124" s="60"/>
    </x:row>
    <x:row r="125" ht="45" customHeight="1">
      <x:c r="A125" s="15"/>
      <x:c r="B125" s="15"/>
      <x:c r="C125" s="15"/>
      <x:c r="D125" s="12"/>
      <x:c r="E125" s="12"/>
      <x:c r="F125" s="12"/>
      <x:c r="G125" s="12"/>
      <x:c r="H125" s="12"/>
      <x:c r="I125" s="15"/>
      <x:c r="J125" s="12"/>
      <x:c r="K125" s="12"/>
      <x:c r="L125" s="12"/>
      <x:c r="M125" s="12"/>
      <x:c r="N125" s="12"/>
      <x:c r="O125" s="13"/>
      <x:c r="P125" s="13"/>
      <x:c r="Q125" s="13"/>
      <x:c r="R125" s="13"/>
      <x:c r="S125" s="13"/>
      <x:c r="T125" s="13"/>
      <x:c r="U125" s="14"/>
      <x:c r="V125" s="14"/>
      <x:c r="W125" s="16"/>
      <x:c r="X125" s="16"/>
      <x:c r="Y125" s="14"/>
      <x:c r="Z125" s="66" t="str">
        <x:f t="shared" si="4">IF(A125="","",IF(MAX(LEN(E125),LEN(F125),LEN(G125),LEN(H125))&gt;2*MIN(LEN(E125),LEN(F125),LEN(G125),LEN(H125)),"Review answer lengths",""))</x:f>
      </x:c>
      <x:c r="AA125" s="66" t="str">
        <x:f t="shared" si="5">IF(A125="","",IF(COUNTIF($A$2:$A$301,A125)&gt;1,"Duplicate ID",IF(COUNTIF($D$2:$D$301,D125)&gt;1,"Review repeated text","")))</x:f>
      </x:c>
      <x:c r="AB125" s="66" t="str">
        <x:f t="shared" si="6">IF(A125="","","Unique string or number; no numeric range required")</x:f>
      </x:c>
      <x:c r="AC125" s="66" t="str">
        <x:f>IF(A125="","",IF(OR(B125="",D125="",E125="",F125="",G125="",H125="",J125="",K125="",L125="",M125="",O125="",P125="",AND(I125="",AG125=""),AND(B125&lt;&gt;"repair",B125&lt;&gt;"bridge",C125="")),"INCOMPLETE","CHECK ONLINE"))</x:f>
      </x:c>
      <x:c r="AD125" s="67" t="str">
        <x:f>IF(A125="","",IF(AC125="INCOMPLETE","Fill required fields including RepairSkill and an answer. See Instructions.","Copy all columns with headers to the browser validator for full schema, assets and mode checks."))</x:f>
      </x:c>
      <x:c r="AE125" s="67" t="str">
        <x:f t="shared" si="7">IF(A125="","","https://masteryquests.org/tools/question-bank-validator/")</x:f>
      </x:c>
      <x:c r="AF125" s="60"/>
      <x:c r="AH125" s="60"/>
      <x:c r="AI125" s="60"/>
    </x:row>
    <x:row r="126" ht="45" customHeight="1">
      <x:c r="A126" s="15"/>
      <x:c r="B126" s="15"/>
      <x:c r="C126" s="15"/>
      <x:c r="D126" s="12"/>
      <x:c r="E126" s="12"/>
      <x:c r="F126" s="12"/>
      <x:c r="G126" s="12"/>
      <x:c r="H126" s="12"/>
      <x:c r="I126" s="15"/>
      <x:c r="J126" s="12"/>
      <x:c r="K126" s="12"/>
      <x:c r="L126" s="12"/>
      <x:c r="M126" s="12"/>
      <x:c r="N126" s="12"/>
      <x:c r="O126" s="13"/>
      <x:c r="P126" s="13"/>
      <x:c r="Q126" s="13"/>
      <x:c r="R126" s="13"/>
      <x:c r="S126" s="13"/>
      <x:c r="T126" s="13"/>
      <x:c r="U126" s="14"/>
      <x:c r="V126" s="14"/>
      <x:c r="W126" s="16"/>
      <x:c r="X126" s="16"/>
      <x:c r="Y126" s="14"/>
      <x:c r="Z126" s="66" t="str">
        <x:f t="shared" si="4">IF(A126="","",IF(MAX(LEN(E126),LEN(F126),LEN(G126),LEN(H126))&gt;2*MIN(LEN(E126),LEN(F126),LEN(G126),LEN(H126)),"Review answer lengths",""))</x:f>
      </x:c>
      <x:c r="AA126" s="66" t="str">
        <x:f t="shared" si="5">IF(A126="","",IF(COUNTIF($A$2:$A$301,A126)&gt;1,"Duplicate ID",IF(COUNTIF($D$2:$D$301,D126)&gt;1,"Review repeated text","")))</x:f>
      </x:c>
      <x:c r="AB126" s="66" t="str">
        <x:f t="shared" si="6">IF(A126="","","Unique string or number; no numeric range required")</x:f>
      </x:c>
      <x:c r="AC126" s="66" t="str">
        <x:f>IF(A126="","",IF(OR(B126="",D126="",E126="",F126="",G126="",H126="",J126="",K126="",L126="",M126="",O126="",P126="",AND(I126="",AG126=""),AND(B126&lt;&gt;"repair",B126&lt;&gt;"bridge",C126="")),"INCOMPLETE","CHECK ONLINE"))</x:f>
      </x:c>
      <x:c r="AD126" s="67" t="str">
        <x:f>IF(A126="","",IF(AC126="INCOMPLETE","Fill required fields including RepairSkill and an answer. See Instructions.","Copy all columns with headers to the browser validator for full schema, assets and mode checks."))</x:f>
      </x:c>
      <x:c r="AE126" s="67" t="str">
        <x:f t="shared" si="7">IF(A126="","","https://masteryquests.org/tools/question-bank-validator/")</x:f>
      </x:c>
      <x:c r="AF126" s="60"/>
      <x:c r="AH126" s="60"/>
      <x:c r="AI126" s="60"/>
    </x:row>
    <x:row r="127" ht="45" customHeight="1">
      <x:c r="A127" s="15"/>
      <x:c r="B127" s="15"/>
      <x:c r="C127" s="15"/>
      <x:c r="D127" s="12"/>
      <x:c r="E127" s="12"/>
      <x:c r="F127" s="12"/>
      <x:c r="G127" s="12"/>
      <x:c r="H127" s="12"/>
      <x:c r="I127" s="15"/>
      <x:c r="J127" s="12"/>
      <x:c r="K127" s="12"/>
      <x:c r="L127" s="12"/>
      <x:c r="M127" s="12"/>
      <x:c r="N127" s="12"/>
      <x:c r="O127" s="13"/>
      <x:c r="P127" s="13"/>
      <x:c r="Q127" s="13"/>
      <x:c r="R127" s="13"/>
      <x:c r="S127" s="13"/>
      <x:c r="T127" s="13"/>
      <x:c r="U127" s="14"/>
      <x:c r="V127" s="14"/>
      <x:c r="W127" s="16"/>
      <x:c r="X127" s="16"/>
      <x:c r="Y127" s="14"/>
      <x:c r="Z127" s="66" t="str">
        <x:f t="shared" si="4">IF(A127="","",IF(MAX(LEN(E127),LEN(F127),LEN(G127),LEN(H127))&gt;2*MIN(LEN(E127),LEN(F127),LEN(G127),LEN(H127)),"Review answer lengths",""))</x:f>
      </x:c>
      <x:c r="AA127" s="66" t="str">
        <x:f t="shared" si="5">IF(A127="","",IF(COUNTIF($A$2:$A$301,A127)&gt;1,"Duplicate ID",IF(COUNTIF($D$2:$D$301,D127)&gt;1,"Review repeated text","")))</x:f>
      </x:c>
      <x:c r="AB127" s="66" t="str">
        <x:f t="shared" si="6">IF(A127="","","Unique string or number; no numeric range required")</x:f>
      </x:c>
      <x:c r="AC127" s="66" t="str">
        <x:f>IF(A127="","",IF(OR(B127="",D127="",E127="",F127="",G127="",H127="",J127="",K127="",L127="",M127="",O127="",P127="",AND(I127="",AG127=""),AND(B127&lt;&gt;"repair",B127&lt;&gt;"bridge",C127="")),"INCOMPLETE","CHECK ONLINE"))</x:f>
      </x:c>
      <x:c r="AD127" s="67" t="str">
        <x:f>IF(A127="","",IF(AC127="INCOMPLETE","Fill required fields including RepairSkill and an answer. See Instructions.","Copy all columns with headers to the browser validator for full schema, assets and mode checks."))</x:f>
      </x:c>
      <x:c r="AE127" s="67" t="str">
        <x:f t="shared" si="7">IF(A127="","","https://masteryquests.org/tools/question-bank-validator/")</x:f>
      </x:c>
      <x:c r="AF127" s="60"/>
      <x:c r="AH127" s="60"/>
      <x:c r="AI127" s="60"/>
    </x:row>
    <x:row r="128" ht="45" customHeight="1">
      <x:c r="A128" s="15"/>
      <x:c r="B128" s="15"/>
      <x:c r="C128" s="15"/>
      <x:c r="D128" s="12"/>
      <x:c r="E128" s="12"/>
      <x:c r="F128" s="12"/>
      <x:c r="G128" s="12"/>
      <x:c r="H128" s="12"/>
      <x:c r="I128" s="15"/>
      <x:c r="J128" s="12"/>
      <x:c r="K128" s="12"/>
      <x:c r="L128" s="12"/>
      <x:c r="M128" s="12"/>
      <x:c r="N128" s="12"/>
      <x:c r="O128" s="13"/>
      <x:c r="P128" s="13"/>
      <x:c r="Q128" s="13"/>
      <x:c r="R128" s="13"/>
      <x:c r="S128" s="13"/>
      <x:c r="T128" s="13"/>
      <x:c r="U128" s="14"/>
      <x:c r="V128" s="14"/>
      <x:c r="W128" s="16"/>
      <x:c r="X128" s="16"/>
      <x:c r="Y128" s="14"/>
      <x:c r="Z128" s="66" t="str">
        <x:f t="shared" si="4">IF(A128="","",IF(MAX(LEN(E128),LEN(F128),LEN(G128),LEN(H128))&gt;2*MIN(LEN(E128),LEN(F128),LEN(G128),LEN(H128)),"Review answer lengths",""))</x:f>
      </x:c>
      <x:c r="AA128" s="66" t="str">
        <x:f t="shared" si="5">IF(A128="","",IF(COUNTIF($A$2:$A$301,A128)&gt;1,"Duplicate ID",IF(COUNTIF($D$2:$D$301,D128)&gt;1,"Review repeated text","")))</x:f>
      </x:c>
      <x:c r="AB128" s="66" t="str">
        <x:f t="shared" si="6">IF(A128="","","Unique string or number; no numeric range required")</x:f>
      </x:c>
      <x:c r="AC128" s="66" t="str">
        <x:f>IF(A128="","",IF(OR(B128="",D128="",E128="",F128="",G128="",H128="",J128="",K128="",L128="",M128="",O128="",P128="",AND(I128="",AG128=""),AND(B128&lt;&gt;"repair",B128&lt;&gt;"bridge",C128="")),"INCOMPLETE","CHECK ONLINE"))</x:f>
      </x:c>
      <x:c r="AD128" s="67" t="str">
        <x:f>IF(A128="","",IF(AC128="INCOMPLETE","Fill required fields including RepairSkill and an answer. See Instructions.","Copy all columns with headers to the browser validator for full schema, assets and mode checks."))</x:f>
      </x:c>
      <x:c r="AE128" s="67" t="str">
        <x:f t="shared" si="7">IF(A128="","","https://masteryquests.org/tools/question-bank-validator/")</x:f>
      </x:c>
      <x:c r="AF128" s="60"/>
      <x:c r="AH128" s="60"/>
      <x:c r="AI128" s="60"/>
    </x:row>
    <x:row r="129" ht="45" customHeight="1">
      <x:c r="A129" s="15"/>
      <x:c r="B129" s="15"/>
      <x:c r="C129" s="15"/>
      <x:c r="D129" s="12"/>
      <x:c r="E129" s="12"/>
      <x:c r="F129" s="12"/>
      <x:c r="G129" s="12"/>
      <x:c r="H129" s="12"/>
      <x:c r="I129" s="15"/>
      <x:c r="J129" s="12"/>
      <x:c r="K129" s="12"/>
      <x:c r="L129" s="12"/>
      <x:c r="M129" s="12"/>
      <x:c r="N129" s="12"/>
      <x:c r="O129" s="13"/>
      <x:c r="P129" s="13"/>
      <x:c r="Q129" s="13"/>
      <x:c r="R129" s="13"/>
      <x:c r="S129" s="13"/>
      <x:c r="T129" s="13"/>
      <x:c r="U129" s="14"/>
      <x:c r="V129" s="14"/>
      <x:c r="W129" s="16"/>
      <x:c r="X129" s="16"/>
      <x:c r="Y129" s="14"/>
      <x:c r="Z129" s="66" t="str">
        <x:f t="shared" si="4">IF(A129="","",IF(MAX(LEN(E129),LEN(F129),LEN(G129),LEN(H129))&gt;2*MIN(LEN(E129),LEN(F129),LEN(G129),LEN(H129)),"Review answer lengths",""))</x:f>
      </x:c>
      <x:c r="AA129" s="66" t="str">
        <x:f t="shared" si="5">IF(A129="","",IF(COUNTIF($A$2:$A$301,A129)&gt;1,"Duplicate ID",IF(COUNTIF($D$2:$D$301,D129)&gt;1,"Review repeated text","")))</x:f>
      </x:c>
      <x:c r="AB129" s="66" t="str">
        <x:f t="shared" si="6">IF(A129="","","Unique string or number; no numeric range required")</x:f>
      </x:c>
      <x:c r="AC129" s="66" t="str">
        <x:f>IF(A129="","",IF(OR(B129="",D129="",E129="",F129="",G129="",H129="",J129="",K129="",L129="",M129="",O129="",P129="",AND(I129="",AG129=""),AND(B129&lt;&gt;"repair",B129&lt;&gt;"bridge",C129="")),"INCOMPLETE","CHECK ONLINE"))</x:f>
      </x:c>
      <x:c r="AD129" s="67" t="str">
        <x:f>IF(A129="","",IF(AC129="INCOMPLETE","Fill required fields including RepairSkill and an answer. See Instructions.","Copy all columns with headers to the browser validator for full schema, assets and mode checks."))</x:f>
      </x:c>
      <x:c r="AE129" s="67" t="str">
        <x:f t="shared" si="7">IF(A129="","","https://masteryquests.org/tools/question-bank-validator/")</x:f>
      </x:c>
      <x:c r="AF129" s="60"/>
      <x:c r="AH129" s="60"/>
      <x:c r="AI129" s="60"/>
    </x:row>
    <x:row r="130" ht="45" customHeight="1">
      <x:c r="A130" s="15"/>
      <x:c r="B130" s="15"/>
      <x:c r="C130" s="15"/>
      <x:c r="D130" s="12"/>
      <x:c r="E130" s="12"/>
      <x:c r="F130" s="12"/>
      <x:c r="G130" s="12"/>
      <x:c r="H130" s="12"/>
      <x:c r="I130" s="15"/>
      <x:c r="J130" s="12"/>
      <x:c r="K130" s="12"/>
      <x:c r="L130" s="12"/>
      <x:c r="M130" s="12"/>
      <x:c r="N130" s="12"/>
      <x:c r="O130" s="13"/>
      <x:c r="P130" s="13"/>
      <x:c r="Q130" s="13"/>
      <x:c r="R130" s="13"/>
      <x:c r="S130" s="13"/>
      <x:c r="T130" s="13"/>
      <x:c r="U130" s="14"/>
      <x:c r="V130" s="14"/>
      <x:c r="W130" s="16"/>
      <x:c r="X130" s="16"/>
      <x:c r="Y130" s="14"/>
      <x:c r="Z130" s="66" t="str">
        <x:f t="shared" ref="Z130:Z193" si="8">IF(A130="","",IF(MAX(LEN(E130),LEN(F130),LEN(G130),LEN(H130))&gt;2*MIN(LEN(E130),LEN(F130),LEN(G130),LEN(H130)),"Review answer lengths",""))</x:f>
      </x:c>
      <x:c r="AA130" s="66" t="str">
        <x:f t="shared" ref="AA130:AA193" si="9">IF(A130="","",IF(COUNTIF($A$2:$A$301,A130)&gt;1,"Duplicate ID",IF(COUNTIF($D$2:$D$301,D130)&gt;1,"Review repeated text","")))</x:f>
      </x:c>
      <x:c r="AB130" s="66" t="str">
        <x:f t="shared" ref="AB130:AB193" si="10">IF(A130="","","Unique string or number; no numeric range required")</x:f>
      </x:c>
      <x:c r="AC130" s="66" t="str">
        <x:f>IF(A130="","",IF(OR(B130="",D130="",E130="",F130="",G130="",H130="",J130="",K130="",L130="",M130="",O130="",P130="",AND(I130="",AG130=""),AND(B130&lt;&gt;"repair",B130&lt;&gt;"bridge",C130="")),"INCOMPLETE","CHECK ONLINE"))</x:f>
      </x:c>
      <x:c r="AD130" s="67" t="str">
        <x:f>IF(A130="","",IF(AC130="INCOMPLETE","Fill required fields including RepairSkill and an answer. See Instructions.","Copy all columns with headers to the browser validator for full schema, assets and mode checks."))</x:f>
      </x:c>
      <x:c r="AE130" s="67" t="str">
        <x:f t="shared" ref="AE130:AE193" si="11">IF(A130="","","https://masteryquests.org/tools/question-bank-validator/")</x:f>
      </x:c>
      <x:c r="AF130" s="60"/>
      <x:c r="AH130" s="60"/>
      <x:c r="AI130" s="60"/>
    </x:row>
    <x:row r="131" ht="45" customHeight="1">
      <x:c r="A131" s="15"/>
      <x:c r="B131" s="15"/>
      <x:c r="C131" s="15"/>
      <x:c r="D131" s="12"/>
      <x:c r="E131" s="12"/>
      <x:c r="F131" s="12"/>
      <x:c r="G131" s="12"/>
      <x:c r="H131" s="12"/>
      <x:c r="I131" s="15"/>
      <x:c r="J131" s="12"/>
      <x:c r="K131" s="12"/>
      <x:c r="L131" s="12"/>
      <x:c r="M131" s="12"/>
      <x:c r="N131" s="12"/>
      <x:c r="O131" s="13"/>
      <x:c r="P131" s="13"/>
      <x:c r="Q131" s="13"/>
      <x:c r="R131" s="13"/>
      <x:c r="S131" s="13"/>
      <x:c r="T131" s="13"/>
      <x:c r="U131" s="14"/>
      <x:c r="V131" s="14"/>
      <x:c r="W131" s="16"/>
      <x:c r="X131" s="16"/>
      <x:c r="Y131" s="14"/>
      <x:c r="Z131" s="66" t="str">
        <x:f t="shared" si="8">IF(A131="","",IF(MAX(LEN(E131),LEN(F131),LEN(G131),LEN(H131))&gt;2*MIN(LEN(E131),LEN(F131),LEN(G131),LEN(H131)),"Review answer lengths",""))</x:f>
      </x:c>
      <x:c r="AA131" s="66" t="str">
        <x:f t="shared" si="9">IF(A131="","",IF(COUNTIF($A$2:$A$301,A131)&gt;1,"Duplicate ID",IF(COUNTIF($D$2:$D$301,D131)&gt;1,"Review repeated text","")))</x:f>
      </x:c>
      <x:c r="AB131" s="66" t="str">
        <x:f t="shared" si="10">IF(A131="","","Unique string or number; no numeric range required")</x:f>
      </x:c>
      <x:c r="AC131" s="66" t="str">
        <x:f>IF(A131="","",IF(OR(B131="",D131="",E131="",F131="",G131="",H131="",J131="",K131="",L131="",M131="",O131="",P131="",AND(I131="",AG131=""),AND(B131&lt;&gt;"repair",B131&lt;&gt;"bridge",C131="")),"INCOMPLETE","CHECK ONLINE"))</x:f>
      </x:c>
      <x:c r="AD131" s="67" t="str">
        <x:f>IF(A131="","",IF(AC131="INCOMPLETE","Fill required fields including RepairSkill and an answer. See Instructions.","Copy all columns with headers to the browser validator for full schema, assets and mode checks."))</x:f>
      </x:c>
      <x:c r="AE131" s="67" t="str">
        <x:f t="shared" si="11">IF(A131="","","https://masteryquests.org/tools/question-bank-validator/")</x:f>
      </x:c>
      <x:c r="AF131" s="60"/>
      <x:c r="AH131" s="60"/>
      <x:c r="AI131" s="60"/>
    </x:row>
    <x:row r="132" ht="45" customHeight="1">
      <x:c r="A132" s="15"/>
      <x:c r="B132" s="15"/>
      <x:c r="C132" s="15"/>
      <x:c r="D132" s="12"/>
      <x:c r="E132" s="12"/>
      <x:c r="F132" s="12"/>
      <x:c r="G132" s="12"/>
      <x:c r="H132" s="12"/>
      <x:c r="I132" s="15"/>
      <x:c r="J132" s="12"/>
      <x:c r="K132" s="12"/>
      <x:c r="L132" s="12"/>
      <x:c r="M132" s="12"/>
      <x:c r="N132" s="12"/>
      <x:c r="O132" s="13"/>
      <x:c r="P132" s="13"/>
      <x:c r="Q132" s="13"/>
      <x:c r="R132" s="13"/>
      <x:c r="S132" s="13"/>
      <x:c r="T132" s="13"/>
      <x:c r="U132" s="14"/>
      <x:c r="V132" s="14"/>
      <x:c r="W132" s="16"/>
      <x:c r="X132" s="16"/>
      <x:c r="Y132" s="14"/>
      <x:c r="Z132" s="66" t="str">
        <x:f t="shared" si="8">IF(A132="","",IF(MAX(LEN(E132),LEN(F132),LEN(G132),LEN(H132))&gt;2*MIN(LEN(E132),LEN(F132),LEN(G132),LEN(H132)),"Review answer lengths",""))</x:f>
      </x:c>
      <x:c r="AA132" s="66" t="str">
        <x:f t="shared" si="9">IF(A132="","",IF(COUNTIF($A$2:$A$301,A132)&gt;1,"Duplicate ID",IF(COUNTIF($D$2:$D$301,D132)&gt;1,"Review repeated text","")))</x:f>
      </x:c>
      <x:c r="AB132" s="66" t="str">
        <x:f t="shared" si="10">IF(A132="","","Unique string or number; no numeric range required")</x:f>
      </x:c>
      <x:c r="AC132" s="66" t="str">
        <x:f>IF(A132="","",IF(OR(B132="",D132="",E132="",F132="",G132="",H132="",J132="",K132="",L132="",M132="",O132="",P132="",AND(I132="",AG132=""),AND(B132&lt;&gt;"repair",B132&lt;&gt;"bridge",C132="")),"INCOMPLETE","CHECK ONLINE"))</x:f>
      </x:c>
      <x:c r="AD132" s="67" t="str">
        <x:f>IF(A132="","",IF(AC132="INCOMPLETE","Fill required fields including RepairSkill and an answer. See Instructions.","Copy all columns with headers to the browser validator for full schema, assets and mode checks."))</x:f>
      </x:c>
      <x:c r="AE132" s="67" t="str">
        <x:f t="shared" si="11">IF(A132="","","https://masteryquests.org/tools/question-bank-validator/")</x:f>
      </x:c>
      <x:c r="AF132" s="60"/>
      <x:c r="AH132" s="60"/>
      <x:c r="AI132" s="60"/>
    </x:row>
    <x:row r="133" ht="45" customHeight="1">
      <x:c r="A133" s="15"/>
      <x:c r="B133" s="15"/>
      <x:c r="C133" s="15"/>
      <x:c r="D133" s="12"/>
      <x:c r="E133" s="12"/>
      <x:c r="F133" s="12"/>
      <x:c r="G133" s="12"/>
      <x:c r="H133" s="12"/>
      <x:c r="I133" s="15"/>
      <x:c r="J133" s="12"/>
      <x:c r="K133" s="12"/>
      <x:c r="L133" s="12"/>
      <x:c r="M133" s="12"/>
      <x:c r="N133" s="12"/>
      <x:c r="O133" s="13"/>
      <x:c r="P133" s="13"/>
      <x:c r="Q133" s="13"/>
      <x:c r="R133" s="13"/>
      <x:c r="S133" s="13"/>
      <x:c r="T133" s="13"/>
      <x:c r="U133" s="14"/>
      <x:c r="V133" s="14"/>
      <x:c r="W133" s="16"/>
      <x:c r="X133" s="16"/>
      <x:c r="Y133" s="14"/>
      <x:c r="Z133" s="66" t="str">
        <x:f t="shared" si="8">IF(A133="","",IF(MAX(LEN(E133),LEN(F133),LEN(G133),LEN(H133))&gt;2*MIN(LEN(E133),LEN(F133),LEN(G133),LEN(H133)),"Review answer lengths",""))</x:f>
      </x:c>
      <x:c r="AA133" s="66" t="str">
        <x:f t="shared" si="9">IF(A133="","",IF(COUNTIF($A$2:$A$301,A133)&gt;1,"Duplicate ID",IF(COUNTIF($D$2:$D$301,D133)&gt;1,"Review repeated text","")))</x:f>
      </x:c>
      <x:c r="AB133" s="66" t="str">
        <x:f t="shared" si="10">IF(A133="","","Unique string or number; no numeric range required")</x:f>
      </x:c>
      <x:c r="AC133" s="66" t="str">
        <x:f>IF(A133="","",IF(OR(B133="",D133="",E133="",F133="",G133="",H133="",J133="",K133="",L133="",M133="",O133="",P133="",AND(I133="",AG133=""),AND(B133&lt;&gt;"repair",B133&lt;&gt;"bridge",C133="")),"INCOMPLETE","CHECK ONLINE"))</x:f>
      </x:c>
      <x:c r="AD133" s="67" t="str">
        <x:f>IF(A133="","",IF(AC133="INCOMPLETE","Fill required fields including RepairSkill and an answer. See Instructions.","Copy all columns with headers to the browser validator for full schema, assets and mode checks."))</x:f>
      </x:c>
      <x:c r="AE133" s="67" t="str">
        <x:f t="shared" si="11">IF(A133="","","https://masteryquests.org/tools/question-bank-validator/")</x:f>
      </x:c>
      <x:c r="AF133" s="60"/>
      <x:c r="AH133" s="60"/>
      <x:c r="AI133" s="60"/>
    </x:row>
    <x:row r="134" ht="45" customHeight="1">
      <x:c r="A134" s="15"/>
      <x:c r="B134" s="15"/>
      <x:c r="C134" s="15"/>
      <x:c r="D134" s="12"/>
      <x:c r="E134" s="12"/>
      <x:c r="F134" s="12"/>
      <x:c r="G134" s="12"/>
      <x:c r="H134" s="12"/>
      <x:c r="I134" s="15"/>
      <x:c r="J134" s="12"/>
      <x:c r="K134" s="12"/>
      <x:c r="L134" s="12"/>
      <x:c r="M134" s="12"/>
      <x:c r="N134" s="12"/>
      <x:c r="O134" s="13"/>
      <x:c r="P134" s="13"/>
      <x:c r="Q134" s="13"/>
      <x:c r="R134" s="13"/>
      <x:c r="S134" s="13"/>
      <x:c r="T134" s="13"/>
      <x:c r="U134" s="14"/>
      <x:c r="V134" s="14"/>
      <x:c r="W134" s="16"/>
      <x:c r="X134" s="16"/>
      <x:c r="Y134" s="14"/>
      <x:c r="Z134" s="66" t="str">
        <x:f t="shared" si="8">IF(A134="","",IF(MAX(LEN(E134),LEN(F134),LEN(G134),LEN(H134))&gt;2*MIN(LEN(E134),LEN(F134),LEN(G134),LEN(H134)),"Review answer lengths",""))</x:f>
      </x:c>
      <x:c r="AA134" s="66" t="str">
        <x:f t="shared" si="9">IF(A134="","",IF(COUNTIF($A$2:$A$301,A134)&gt;1,"Duplicate ID",IF(COUNTIF($D$2:$D$301,D134)&gt;1,"Review repeated text","")))</x:f>
      </x:c>
      <x:c r="AB134" s="66" t="str">
        <x:f t="shared" si="10">IF(A134="","","Unique string or number; no numeric range required")</x:f>
      </x:c>
      <x:c r="AC134" s="66" t="str">
        <x:f>IF(A134="","",IF(OR(B134="",D134="",E134="",F134="",G134="",H134="",J134="",K134="",L134="",M134="",O134="",P134="",AND(I134="",AG134=""),AND(B134&lt;&gt;"repair",B134&lt;&gt;"bridge",C134="")),"INCOMPLETE","CHECK ONLINE"))</x:f>
      </x:c>
      <x:c r="AD134" s="67" t="str">
        <x:f>IF(A134="","",IF(AC134="INCOMPLETE","Fill required fields including RepairSkill and an answer. See Instructions.","Copy all columns with headers to the browser validator for full schema, assets and mode checks."))</x:f>
      </x:c>
      <x:c r="AE134" s="67" t="str">
        <x:f t="shared" si="11">IF(A134="","","https://masteryquests.org/tools/question-bank-validator/")</x:f>
      </x:c>
      <x:c r="AF134" s="60"/>
      <x:c r="AH134" s="60"/>
      <x:c r="AI134" s="60"/>
    </x:row>
    <x:row r="135" ht="45" customHeight="1">
      <x:c r="A135" s="15"/>
      <x:c r="B135" s="15"/>
      <x:c r="C135" s="15"/>
      <x:c r="D135" s="12"/>
      <x:c r="E135" s="12"/>
      <x:c r="F135" s="12"/>
      <x:c r="G135" s="12"/>
      <x:c r="H135" s="12"/>
      <x:c r="I135" s="15"/>
      <x:c r="J135" s="12"/>
      <x:c r="K135" s="12"/>
      <x:c r="L135" s="12"/>
      <x:c r="M135" s="12"/>
      <x:c r="N135" s="12"/>
      <x:c r="O135" s="13"/>
      <x:c r="P135" s="13"/>
      <x:c r="Q135" s="13"/>
      <x:c r="R135" s="13"/>
      <x:c r="S135" s="13"/>
      <x:c r="T135" s="13"/>
      <x:c r="U135" s="14"/>
      <x:c r="V135" s="14"/>
      <x:c r="W135" s="16"/>
      <x:c r="X135" s="16"/>
      <x:c r="Y135" s="14"/>
      <x:c r="Z135" s="66" t="str">
        <x:f t="shared" si="8">IF(A135="","",IF(MAX(LEN(E135),LEN(F135),LEN(G135),LEN(H135))&gt;2*MIN(LEN(E135),LEN(F135),LEN(G135),LEN(H135)),"Review answer lengths",""))</x:f>
      </x:c>
      <x:c r="AA135" s="66" t="str">
        <x:f t="shared" si="9">IF(A135="","",IF(COUNTIF($A$2:$A$301,A135)&gt;1,"Duplicate ID",IF(COUNTIF($D$2:$D$301,D135)&gt;1,"Review repeated text","")))</x:f>
      </x:c>
      <x:c r="AB135" s="66" t="str">
        <x:f t="shared" si="10">IF(A135="","","Unique string or number; no numeric range required")</x:f>
      </x:c>
      <x:c r="AC135" s="66" t="str">
        <x:f>IF(A135="","",IF(OR(B135="",D135="",E135="",F135="",G135="",H135="",J135="",K135="",L135="",M135="",O135="",P135="",AND(I135="",AG135=""),AND(B135&lt;&gt;"repair",B135&lt;&gt;"bridge",C135="")),"INCOMPLETE","CHECK ONLINE"))</x:f>
      </x:c>
      <x:c r="AD135" s="67" t="str">
        <x:f>IF(A135="","",IF(AC135="INCOMPLETE","Fill required fields including RepairSkill and an answer. See Instructions.","Copy all columns with headers to the browser validator for full schema, assets and mode checks."))</x:f>
      </x:c>
      <x:c r="AE135" s="67" t="str">
        <x:f t="shared" si="11">IF(A135="","","https://masteryquests.org/tools/question-bank-validator/")</x:f>
      </x:c>
      <x:c r="AF135" s="60"/>
      <x:c r="AH135" s="60"/>
      <x:c r="AI135" s="60"/>
    </x:row>
    <x:row r="136" ht="45" customHeight="1">
      <x:c r="A136" s="15"/>
      <x:c r="B136" s="15"/>
      <x:c r="C136" s="15"/>
      <x:c r="D136" s="12"/>
      <x:c r="E136" s="12"/>
      <x:c r="F136" s="12"/>
      <x:c r="G136" s="12"/>
      <x:c r="H136" s="12"/>
      <x:c r="I136" s="15"/>
      <x:c r="J136" s="12"/>
      <x:c r="K136" s="12"/>
      <x:c r="L136" s="12"/>
      <x:c r="M136" s="12"/>
      <x:c r="N136" s="12"/>
      <x:c r="O136" s="13"/>
      <x:c r="P136" s="13"/>
      <x:c r="Q136" s="13"/>
      <x:c r="R136" s="13"/>
      <x:c r="S136" s="13"/>
      <x:c r="T136" s="13"/>
      <x:c r="U136" s="14"/>
      <x:c r="V136" s="14"/>
      <x:c r="W136" s="16"/>
      <x:c r="X136" s="16"/>
      <x:c r="Y136" s="14"/>
      <x:c r="Z136" s="66" t="str">
        <x:f t="shared" si="8">IF(A136="","",IF(MAX(LEN(E136),LEN(F136),LEN(G136),LEN(H136))&gt;2*MIN(LEN(E136),LEN(F136),LEN(G136),LEN(H136)),"Review answer lengths",""))</x:f>
      </x:c>
      <x:c r="AA136" s="66" t="str">
        <x:f t="shared" si="9">IF(A136="","",IF(COUNTIF($A$2:$A$301,A136)&gt;1,"Duplicate ID",IF(COUNTIF($D$2:$D$301,D136)&gt;1,"Review repeated text","")))</x:f>
      </x:c>
      <x:c r="AB136" s="66" t="str">
        <x:f t="shared" si="10">IF(A136="","","Unique string or number; no numeric range required")</x:f>
      </x:c>
      <x:c r="AC136" s="66" t="str">
        <x:f>IF(A136="","",IF(OR(B136="",D136="",E136="",F136="",G136="",H136="",J136="",K136="",L136="",M136="",O136="",P136="",AND(I136="",AG136=""),AND(B136&lt;&gt;"repair",B136&lt;&gt;"bridge",C136="")),"INCOMPLETE","CHECK ONLINE"))</x:f>
      </x:c>
      <x:c r="AD136" s="67" t="str">
        <x:f>IF(A136="","",IF(AC136="INCOMPLETE","Fill required fields including RepairSkill and an answer. See Instructions.","Copy all columns with headers to the browser validator for full schema, assets and mode checks."))</x:f>
      </x:c>
      <x:c r="AE136" s="67" t="str">
        <x:f t="shared" si="11">IF(A136="","","https://masteryquests.org/tools/question-bank-validator/")</x:f>
      </x:c>
      <x:c r="AF136" s="60"/>
      <x:c r="AH136" s="60"/>
      <x:c r="AI136" s="60"/>
    </x:row>
    <x:row r="137" ht="45" customHeight="1">
      <x:c r="A137" s="15"/>
      <x:c r="B137" s="15"/>
      <x:c r="C137" s="15"/>
      <x:c r="D137" s="12"/>
      <x:c r="E137" s="12"/>
      <x:c r="F137" s="12"/>
      <x:c r="G137" s="12"/>
      <x:c r="H137" s="12"/>
      <x:c r="I137" s="15"/>
      <x:c r="J137" s="12"/>
      <x:c r="K137" s="12"/>
      <x:c r="L137" s="12"/>
      <x:c r="M137" s="12"/>
      <x:c r="N137" s="12"/>
      <x:c r="O137" s="13"/>
      <x:c r="P137" s="13"/>
      <x:c r="Q137" s="13"/>
      <x:c r="R137" s="13"/>
      <x:c r="S137" s="13"/>
      <x:c r="T137" s="13"/>
      <x:c r="U137" s="14"/>
      <x:c r="V137" s="14"/>
      <x:c r="W137" s="16"/>
      <x:c r="X137" s="16"/>
      <x:c r="Y137" s="14"/>
      <x:c r="Z137" s="66" t="str">
        <x:f t="shared" si="8">IF(A137="","",IF(MAX(LEN(E137),LEN(F137),LEN(G137),LEN(H137))&gt;2*MIN(LEN(E137),LEN(F137),LEN(G137),LEN(H137)),"Review answer lengths",""))</x:f>
      </x:c>
      <x:c r="AA137" s="66" t="str">
        <x:f t="shared" si="9">IF(A137="","",IF(COUNTIF($A$2:$A$301,A137)&gt;1,"Duplicate ID",IF(COUNTIF($D$2:$D$301,D137)&gt;1,"Review repeated text","")))</x:f>
      </x:c>
      <x:c r="AB137" s="66" t="str">
        <x:f t="shared" si="10">IF(A137="","","Unique string or number; no numeric range required")</x:f>
      </x:c>
      <x:c r="AC137" s="66" t="str">
        <x:f>IF(A137="","",IF(OR(B137="",D137="",E137="",F137="",G137="",H137="",J137="",K137="",L137="",M137="",O137="",P137="",AND(I137="",AG137=""),AND(B137&lt;&gt;"repair",B137&lt;&gt;"bridge",C137="")),"INCOMPLETE","CHECK ONLINE"))</x:f>
      </x:c>
      <x:c r="AD137" s="67" t="str">
        <x:f>IF(A137="","",IF(AC137="INCOMPLETE","Fill required fields including RepairSkill and an answer. See Instructions.","Copy all columns with headers to the browser validator for full schema, assets and mode checks."))</x:f>
      </x:c>
      <x:c r="AE137" s="67" t="str">
        <x:f t="shared" si="11">IF(A137="","","https://masteryquests.org/tools/question-bank-validator/")</x:f>
      </x:c>
      <x:c r="AF137" s="60"/>
      <x:c r="AH137" s="60"/>
      <x:c r="AI137" s="60"/>
    </x:row>
    <x:row r="138" ht="45" customHeight="1">
      <x:c r="A138" s="15"/>
      <x:c r="B138" s="15"/>
      <x:c r="C138" s="15"/>
      <x:c r="D138" s="12"/>
      <x:c r="E138" s="12"/>
      <x:c r="F138" s="12"/>
      <x:c r="G138" s="12"/>
      <x:c r="H138" s="12"/>
      <x:c r="I138" s="15"/>
      <x:c r="J138" s="12"/>
      <x:c r="K138" s="12"/>
      <x:c r="L138" s="12"/>
      <x:c r="M138" s="12"/>
      <x:c r="N138" s="12"/>
      <x:c r="O138" s="13"/>
      <x:c r="P138" s="13"/>
      <x:c r="Q138" s="13"/>
      <x:c r="R138" s="13"/>
      <x:c r="S138" s="13"/>
      <x:c r="T138" s="13"/>
      <x:c r="U138" s="14"/>
      <x:c r="V138" s="14"/>
      <x:c r="W138" s="16"/>
      <x:c r="X138" s="16"/>
      <x:c r="Y138" s="14"/>
      <x:c r="Z138" s="66" t="str">
        <x:f t="shared" si="8">IF(A138="","",IF(MAX(LEN(E138),LEN(F138),LEN(G138),LEN(H138))&gt;2*MIN(LEN(E138),LEN(F138),LEN(G138),LEN(H138)),"Review answer lengths",""))</x:f>
      </x:c>
      <x:c r="AA138" s="66" t="str">
        <x:f t="shared" si="9">IF(A138="","",IF(COUNTIF($A$2:$A$301,A138)&gt;1,"Duplicate ID",IF(COUNTIF($D$2:$D$301,D138)&gt;1,"Review repeated text","")))</x:f>
      </x:c>
      <x:c r="AB138" s="66" t="str">
        <x:f t="shared" si="10">IF(A138="","","Unique string or number; no numeric range required")</x:f>
      </x:c>
      <x:c r="AC138" s="66" t="str">
        <x:f>IF(A138="","",IF(OR(B138="",D138="",E138="",F138="",G138="",H138="",J138="",K138="",L138="",M138="",O138="",P138="",AND(I138="",AG138=""),AND(B138&lt;&gt;"repair",B138&lt;&gt;"bridge",C138="")),"INCOMPLETE","CHECK ONLINE"))</x:f>
      </x:c>
      <x:c r="AD138" s="67" t="str">
        <x:f>IF(A138="","",IF(AC138="INCOMPLETE","Fill required fields including RepairSkill and an answer. See Instructions.","Copy all columns with headers to the browser validator for full schema, assets and mode checks."))</x:f>
      </x:c>
      <x:c r="AE138" s="67" t="str">
        <x:f t="shared" si="11">IF(A138="","","https://masteryquests.org/tools/question-bank-validator/")</x:f>
      </x:c>
      <x:c r="AF138" s="60"/>
      <x:c r="AH138" s="60"/>
      <x:c r="AI138" s="60"/>
    </x:row>
    <x:row r="139" ht="45" customHeight="1">
      <x:c r="A139" s="15"/>
      <x:c r="B139" s="15"/>
      <x:c r="C139" s="15"/>
      <x:c r="D139" s="12"/>
      <x:c r="E139" s="12"/>
      <x:c r="F139" s="12"/>
      <x:c r="G139" s="12"/>
      <x:c r="H139" s="12"/>
      <x:c r="I139" s="15"/>
      <x:c r="J139" s="12"/>
      <x:c r="K139" s="12"/>
      <x:c r="L139" s="12"/>
      <x:c r="M139" s="12"/>
      <x:c r="N139" s="12"/>
      <x:c r="O139" s="13"/>
      <x:c r="P139" s="13"/>
      <x:c r="Q139" s="13"/>
      <x:c r="R139" s="13"/>
      <x:c r="S139" s="13"/>
      <x:c r="T139" s="13"/>
      <x:c r="U139" s="14"/>
      <x:c r="V139" s="14"/>
      <x:c r="W139" s="16"/>
      <x:c r="X139" s="16"/>
      <x:c r="Y139" s="14"/>
      <x:c r="Z139" s="66" t="str">
        <x:f t="shared" si="8">IF(A139="","",IF(MAX(LEN(E139),LEN(F139),LEN(G139),LEN(H139))&gt;2*MIN(LEN(E139),LEN(F139),LEN(G139),LEN(H139)),"Review answer lengths",""))</x:f>
      </x:c>
      <x:c r="AA139" s="66" t="str">
        <x:f t="shared" si="9">IF(A139="","",IF(COUNTIF($A$2:$A$301,A139)&gt;1,"Duplicate ID",IF(COUNTIF($D$2:$D$301,D139)&gt;1,"Review repeated text","")))</x:f>
      </x:c>
      <x:c r="AB139" s="66" t="str">
        <x:f t="shared" si="10">IF(A139="","","Unique string or number; no numeric range required")</x:f>
      </x:c>
      <x:c r="AC139" s="66" t="str">
        <x:f>IF(A139="","",IF(OR(B139="",D139="",E139="",F139="",G139="",H139="",J139="",K139="",L139="",M139="",O139="",P139="",AND(I139="",AG139=""),AND(B139&lt;&gt;"repair",B139&lt;&gt;"bridge",C139="")),"INCOMPLETE","CHECK ONLINE"))</x:f>
      </x:c>
      <x:c r="AD139" s="67" t="str">
        <x:f>IF(A139="","",IF(AC139="INCOMPLETE","Fill required fields including RepairSkill and an answer. See Instructions.","Copy all columns with headers to the browser validator for full schema, assets and mode checks."))</x:f>
      </x:c>
      <x:c r="AE139" s="67" t="str">
        <x:f t="shared" si="11">IF(A139="","","https://masteryquests.org/tools/question-bank-validator/")</x:f>
      </x:c>
      <x:c r="AF139" s="60"/>
      <x:c r="AH139" s="60"/>
      <x:c r="AI139" s="60"/>
    </x:row>
    <x:row r="140" ht="45" customHeight="1">
      <x:c r="A140" s="15"/>
      <x:c r="B140" s="15"/>
      <x:c r="C140" s="15"/>
      <x:c r="D140" s="12"/>
      <x:c r="E140" s="12"/>
      <x:c r="F140" s="12"/>
      <x:c r="G140" s="12"/>
      <x:c r="H140" s="12"/>
      <x:c r="I140" s="15"/>
      <x:c r="J140" s="12"/>
      <x:c r="K140" s="12"/>
      <x:c r="L140" s="12"/>
      <x:c r="M140" s="12"/>
      <x:c r="N140" s="12"/>
      <x:c r="O140" s="13"/>
      <x:c r="P140" s="13"/>
      <x:c r="Q140" s="13"/>
      <x:c r="R140" s="13"/>
      <x:c r="S140" s="13"/>
      <x:c r="T140" s="13"/>
      <x:c r="U140" s="14"/>
      <x:c r="V140" s="14"/>
      <x:c r="W140" s="16"/>
      <x:c r="X140" s="16"/>
      <x:c r="Y140" s="14"/>
      <x:c r="Z140" s="66" t="str">
        <x:f t="shared" si="8">IF(A140="","",IF(MAX(LEN(E140),LEN(F140),LEN(G140),LEN(H140))&gt;2*MIN(LEN(E140),LEN(F140),LEN(G140),LEN(H140)),"Review answer lengths",""))</x:f>
      </x:c>
      <x:c r="AA140" s="66" t="str">
        <x:f t="shared" si="9">IF(A140="","",IF(COUNTIF($A$2:$A$301,A140)&gt;1,"Duplicate ID",IF(COUNTIF($D$2:$D$301,D140)&gt;1,"Review repeated text","")))</x:f>
      </x:c>
      <x:c r="AB140" s="66" t="str">
        <x:f t="shared" si="10">IF(A140="","","Unique string or number; no numeric range required")</x:f>
      </x:c>
      <x:c r="AC140" s="66" t="str">
        <x:f>IF(A140="","",IF(OR(B140="",D140="",E140="",F140="",G140="",H140="",J140="",K140="",L140="",M140="",O140="",P140="",AND(I140="",AG140=""),AND(B140&lt;&gt;"repair",B140&lt;&gt;"bridge",C140="")),"INCOMPLETE","CHECK ONLINE"))</x:f>
      </x:c>
      <x:c r="AD140" s="67" t="str">
        <x:f>IF(A140="","",IF(AC140="INCOMPLETE","Fill required fields including RepairSkill and an answer. See Instructions.","Copy all columns with headers to the browser validator for full schema, assets and mode checks."))</x:f>
      </x:c>
      <x:c r="AE140" s="67" t="str">
        <x:f t="shared" si="11">IF(A140="","","https://masteryquests.org/tools/question-bank-validator/")</x:f>
      </x:c>
      <x:c r="AF140" s="60"/>
      <x:c r="AH140" s="60"/>
      <x:c r="AI140" s="60"/>
    </x:row>
    <x:row r="141" ht="45" customHeight="1">
      <x:c r="A141" s="15"/>
      <x:c r="B141" s="15"/>
      <x:c r="C141" s="15"/>
      <x:c r="D141" s="12"/>
      <x:c r="E141" s="12"/>
      <x:c r="F141" s="12"/>
      <x:c r="G141" s="12"/>
      <x:c r="H141" s="12"/>
      <x:c r="I141" s="15"/>
      <x:c r="J141" s="12"/>
      <x:c r="K141" s="12"/>
      <x:c r="L141" s="12"/>
      <x:c r="M141" s="12"/>
      <x:c r="N141" s="12"/>
      <x:c r="O141" s="13"/>
      <x:c r="P141" s="13"/>
      <x:c r="Q141" s="13"/>
      <x:c r="R141" s="13"/>
      <x:c r="S141" s="13"/>
      <x:c r="T141" s="13"/>
      <x:c r="U141" s="14"/>
      <x:c r="V141" s="14"/>
      <x:c r="W141" s="16"/>
      <x:c r="X141" s="16"/>
      <x:c r="Y141" s="14"/>
      <x:c r="Z141" s="66" t="str">
        <x:f t="shared" si="8">IF(A141="","",IF(MAX(LEN(E141),LEN(F141),LEN(G141),LEN(H141))&gt;2*MIN(LEN(E141),LEN(F141),LEN(G141),LEN(H141)),"Review answer lengths",""))</x:f>
      </x:c>
      <x:c r="AA141" s="66" t="str">
        <x:f t="shared" si="9">IF(A141="","",IF(COUNTIF($A$2:$A$301,A141)&gt;1,"Duplicate ID",IF(COUNTIF($D$2:$D$301,D141)&gt;1,"Review repeated text","")))</x:f>
      </x:c>
      <x:c r="AB141" s="66" t="str">
        <x:f t="shared" si="10">IF(A141="","","Unique string or number; no numeric range required")</x:f>
      </x:c>
      <x:c r="AC141" s="66" t="str">
        <x:f>IF(A141="","",IF(OR(B141="",D141="",E141="",F141="",G141="",H141="",J141="",K141="",L141="",M141="",O141="",P141="",AND(I141="",AG141=""),AND(B141&lt;&gt;"repair",B141&lt;&gt;"bridge",C141="")),"INCOMPLETE","CHECK ONLINE"))</x:f>
      </x:c>
      <x:c r="AD141" s="67" t="str">
        <x:f>IF(A141="","",IF(AC141="INCOMPLETE","Fill required fields including RepairSkill and an answer. See Instructions.","Copy all columns with headers to the browser validator for full schema, assets and mode checks."))</x:f>
      </x:c>
      <x:c r="AE141" s="67" t="str">
        <x:f t="shared" si="11">IF(A141="","","https://masteryquests.org/tools/question-bank-validator/")</x:f>
      </x:c>
      <x:c r="AF141" s="60"/>
      <x:c r="AH141" s="60"/>
      <x:c r="AI141" s="60"/>
    </x:row>
    <x:row r="142" ht="45" customHeight="1">
      <x:c r="A142" s="15"/>
      <x:c r="B142" s="15"/>
      <x:c r="C142" s="15"/>
      <x:c r="D142" s="12"/>
      <x:c r="E142" s="12"/>
      <x:c r="F142" s="12"/>
      <x:c r="G142" s="12"/>
      <x:c r="H142" s="12"/>
      <x:c r="I142" s="15"/>
      <x:c r="J142" s="12"/>
      <x:c r="K142" s="12"/>
      <x:c r="L142" s="12"/>
      <x:c r="M142" s="12"/>
      <x:c r="N142" s="12"/>
      <x:c r="O142" s="13"/>
      <x:c r="P142" s="13"/>
      <x:c r="Q142" s="13"/>
      <x:c r="R142" s="13"/>
      <x:c r="S142" s="13"/>
      <x:c r="T142" s="13"/>
      <x:c r="U142" s="14"/>
      <x:c r="V142" s="14"/>
      <x:c r="W142" s="16"/>
      <x:c r="X142" s="16"/>
      <x:c r="Y142" s="14"/>
      <x:c r="Z142" s="66" t="str">
        <x:f t="shared" si="8">IF(A142="","",IF(MAX(LEN(E142),LEN(F142),LEN(G142),LEN(H142))&gt;2*MIN(LEN(E142),LEN(F142),LEN(G142),LEN(H142)),"Review answer lengths",""))</x:f>
      </x:c>
      <x:c r="AA142" s="66" t="str">
        <x:f t="shared" si="9">IF(A142="","",IF(COUNTIF($A$2:$A$301,A142)&gt;1,"Duplicate ID",IF(COUNTIF($D$2:$D$301,D142)&gt;1,"Review repeated text","")))</x:f>
      </x:c>
      <x:c r="AB142" s="66" t="str">
        <x:f t="shared" si="10">IF(A142="","","Unique string or number; no numeric range required")</x:f>
      </x:c>
      <x:c r="AC142" s="66" t="str">
        <x:f>IF(A142="","",IF(OR(B142="",D142="",E142="",F142="",G142="",H142="",J142="",K142="",L142="",M142="",O142="",P142="",AND(I142="",AG142=""),AND(B142&lt;&gt;"repair",B142&lt;&gt;"bridge",C142="")),"INCOMPLETE","CHECK ONLINE"))</x:f>
      </x:c>
      <x:c r="AD142" s="67" t="str">
        <x:f>IF(A142="","",IF(AC142="INCOMPLETE","Fill required fields including RepairSkill and an answer. See Instructions.","Copy all columns with headers to the browser validator for full schema, assets and mode checks."))</x:f>
      </x:c>
      <x:c r="AE142" s="67" t="str">
        <x:f t="shared" si="11">IF(A142="","","https://masteryquests.org/tools/question-bank-validator/")</x:f>
      </x:c>
      <x:c r="AF142" s="60"/>
      <x:c r="AH142" s="60"/>
      <x:c r="AI142" s="60"/>
    </x:row>
    <x:row r="143" ht="45" customHeight="1">
      <x:c r="A143" s="15"/>
      <x:c r="B143" s="15"/>
      <x:c r="C143" s="15"/>
      <x:c r="D143" s="12"/>
      <x:c r="E143" s="12"/>
      <x:c r="F143" s="12"/>
      <x:c r="G143" s="12"/>
      <x:c r="H143" s="12"/>
      <x:c r="I143" s="15"/>
      <x:c r="J143" s="12"/>
      <x:c r="K143" s="12"/>
      <x:c r="L143" s="12"/>
      <x:c r="M143" s="12"/>
      <x:c r="N143" s="12"/>
      <x:c r="O143" s="13"/>
      <x:c r="P143" s="13"/>
      <x:c r="Q143" s="13"/>
      <x:c r="R143" s="13"/>
      <x:c r="S143" s="13"/>
      <x:c r="T143" s="13"/>
      <x:c r="U143" s="14"/>
      <x:c r="V143" s="14"/>
      <x:c r="W143" s="16"/>
      <x:c r="X143" s="16"/>
      <x:c r="Y143" s="14"/>
      <x:c r="Z143" s="66" t="str">
        <x:f t="shared" si="8">IF(A143="","",IF(MAX(LEN(E143),LEN(F143),LEN(G143),LEN(H143))&gt;2*MIN(LEN(E143),LEN(F143),LEN(G143),LEN(H143)),"Review answer lengths",""))</x:f>
      </x:c>
      <x:c r="AA143" s="66" t="str">
        <x:f t="shared" si="9">IF(A143="","",IF(COUNTIF($A$2:$A$301,A143)&gt;1,"Duplicate ID",IF(COUNTIF($D$2:$D$301,D143)&gt;1,"Review repeated text","")))</x:f>
      </x:c>
      <x:c r="AB143" s="66" t="str">
        <x:f t="shared" si="10">IF(A143="","","Unique string or number; no numeric range required")</x:f>
      </x:c>
      <x:c r="AC143" s="66" t="str">
        <x:f>IF(A143="","",IF(OR(B143="",D143="",E143="",F143="",G143="",H143="",J143="",K143="",L143="",M143="",O143="",P143="",AND(I143="",AG143=""),AND(B143&lt;&gt;"repair",B143&lt;&gt;"bridge",C143="")),"INCOMPLETE","CHECK ONLINE"))</x:f>
      </x:c>
      <x:c r="AD143" s="67" t="str">
        <x:f>IF(A143="","",IF(AC143="INCOMPLETE","Fill required fields including RepairSkill and an answer. See Instructions.","Copy all columns with headers to the browser validator for full schema, assets and mode checks."))</x:f>
      </x:c>
      <x:c r="AE143" s="67" t="str">
        <x:f t="shared" si="11">IF(A143="","","https://masteryquests.org/tools/question-bank-validator/")</x:f>
      </x:c>
      <x:c r="AF143" s="60"/>
      <x:c r="AH143" s="60"/>
      <x:c r="AI143" s="60"/>
    </x:row>
    <x:row r="144" ht="45" customHeight="1">
      <x:c r="A144" s="15"/>
      <x:c r="B144" s="15"/>
      <x:c r="C144" s="15"/>
      <x:c r="D144" s="12"/>
      <x:c r="E144" s="12"/>
      <x:c r="F144" s="12"/>
      <x:c r="G144" s="12"/>
      <x:c r="H144" s="12"/>
      <x:c r="I144" s="15"/>
      <x:c r="J144" s="12"/>
      <x:c r="K144" s="12"/>
      <x:c r="L144" s="12"/>
      <x:c r="M144" s="12"/>
      <x:c r="N144" s="12"/>
      <x:c r="O144" s="13"/>
      <x:c r="P144" s="13"/>
      <x:c r="Q144" s="13"/>
      <x:c r="R144" s="13"/>
      <x:c r="S144" s="13"/>
      <x:c r="T144" s="13"/>
      <x:c r="U144" s="14"/>
      <x:c r="V144" s="14"/>
      <x:c r="W144" s="16"/>
      <x:c r="X144" s="16"/>
      <x:c r="Y144" s="14"/>
      <x:c r="Z144" s="66" t="str">
        <x:f t="shared" si="8">IF(A144="","",IF(MAX(LEN(E144),LEN(F144),LEN(G144),LEN(H144))&gt;2*MIN(LEN(E144),LEN(F144),LEN(G144),LEN(H144)),"Review answer lengths",""))</x:f>
      </x:c>
      <x:c r="AA144" s="66" t="str">
        <x:f t="shared" si="9">IF(A144="","",IF(COUNTIF($A$2:$A$301,A144)&gt;1,"Duplicate ID",IF(COUNTIF($D$2:$D$301,D144)&gt;1,"Review repeated text","")))</x:f>
      </x:c>
      <x:c r="AB144" s="66" t="str">
        <x:f t="shared" si="10">IF(A144="","","Unique string or number; no numeric range required")</x:f>
      </x:c>
      <x:c r="AC144" s="66" t="str">
        <x:f>IF(A144="","",IF(OR(B144="",D144="",E144="",F144="",G144="",H144="",J144="",K144="",L144="",M144="",O144="",P144="",AND(I144="",AG144=""),AND(B144&lt;&gt;"repair",B144&lt;&gt;"bridge",C144="")),"INCOMPLETE","CHECK ONLINE"))</x:f>
      </x:c>
      <x:c r="AD144" s="67" t="str">
        <x:f>IF(A144="","",IF(AC144="INCOMPLETE","Fill required fields including RepairSkill and an answer. See Instructions.","Copy all columns with headers to the browser validator for full schema, assets and mode checks."))</x:f>
      </x:c>
      <x:c r="AE144" s="67" t="str">
        <x:f t="shared" si="11">IF(A144="","","https://masteryquests.org/tools/question-bank-validator/")</x:f>
      </x:c>
      <x:c r="AF144" s="60"/>
      <x:c r="AH144" s="60"/>
      <x:c r="AI144" s="60"/>
    </x:row>
    <x:row r="145" ht="45" customHeight="1">
      <x:c r="A145" s="15"/>
      <x:c r="B145" s="15"/>
      <x:c r="C145" s="15"/>
      <x:c r="D145" s="12"/>
      <x:c r="E145" s="12"/>
      <x:c r="F145" s="12"/>
      <x:c r="G145" s="12"/>
      <x:c r="H145" s="12"/>
      <x:c r="I145" s="15"/>
      <x:c r="J145" s="12"/>
      <x:c r="K145" s="12"/>
      <x:c r="L145" s="12"/>
      <x:c r="M145" s="12"/>
      <x:c r="N145" s="12"/>
      <x:c r="O145" s="13"/>
      <x:c r="P145" s="13"/>
      <x:c r="Q145" s="13"/>
      <x:c r="R145" s="13"/>
      <x:c r="S145" s="13"/>
      <x:c r="T145" s="13"/>
      <x:c r="U145" s="14"/>
      <x:c r="V145" s="14"/>
      <x:c r="W145" s="16"/>
      <x:c r="X145" s="16"/>
      <x:c r="Y145" s="14"/>
      <x:c r="Z145" s="66" t="str">
        <x:f t="shared" si="8">IF(A145="","",IF(MAX(LEN(E145),LEN(F145),LEN(G145),LEN(H145))&gt;2*MIN(LEN(E145),LEN(F145),LEN(G145),LEN(H145)),"Review answer lengths",""))</x:f>
      </x:c>
      <x:c r="AA145" s="66" t="str">
        <x:f t="shared" si="9">IF(A145="","",IF(COUNTIF($A$2:$A$301,A145)&gt;1,"Duplicate ID",IF(COUNTIF($D$2:$D$301,D145)&gt;1,"Review repeated text","")))</x:f>
      </x:c>
      <x:c r="AB145" s="66" t="str">
        <x:f t="shared" si="10">IF(A145="","","Unique string or number; no numeric range required")</x:f>
      </x:c>
      <x:c r="AC145" s="66" t="str">
        <x:f>IF(A145="","",IF(OR(B145="",D145="",E145="",F145="",G145="",H145="",J145="",K145="",L145="",M145="",O145="",P145="",AND(I145="",AG145=""),AND(B145&lt;&gt;"repair",B145&lt;&gt;"bridge",C145="")),"INCOMPLETE","CHECK ONLINE"))</x:f>
      </x:c>
      <x:c r="AD145" s="67" t="str">
        <x:f>IF(A145="","",IF(AC145="INCOMPLETE","Fill required fields including RepairSkill and an answer. See Instructions.","Copy all columns with headers to the browser validator for full schema, assets and mode checks."))</x:f>
      </x:c>
      <x:c r="AE145" s="67" t="str">
        <x:f t="shared" si="11">IF(A145="","","https://masteryquests.org/tools/question-bank-validator/")</x:f>
      </x:c>
      <x:c r="AF145" s="60"/>
      <x:c r="AH145" s="60"/>
      <x:c r="AI145" s="60"/>
    </x:row>
    <x:row r="146" ht="45" customHeight="1">
      <x:c r="A146" s="15"/>
      <x:c r="B146" s="15"/>
      <x:c r="C146" s="15"/>
      <x:c r="D146" s="12"/>
      <x:c r="E146" s="12"/>
      <x:c r="F146" s="12"/>
      <x:c r="G146" s="12"/>
      <x:c r="H146" s="12"/>
      <x:c r="I146" s="15"/>
      <x:c r="J146" s="12"/>
      <x:c r="K146" s="12"/>
      <x:c r="L146" s="12"/>
      <x:c r="M146" s="12"/>
      <x:c r="N146" s="12"/>
      <x:c r="O146" s="13"/>
      <x:c r="P146" s="13"/>
      <x:c r="Q146" s="13"/>
      <x:c r="R146" s="13"/>
      <x:c r="S146" s="13"/>
      <x:c r="T146" s="13"/>
      <x:c r="U146" s="14"/>
      <x:c r="V146" s="14"/>
      <x:c r="W146" s="16"/>
      <x:c r="X146" s="16"/>
      <x:c r="Y146" s="14"/>
      <x:c r="Z146" s="66" t="str">
        <x:f t="shared" si="8">IF(A146="","",IF(MAX(LEN(E146),LEN(F146),LEN(G146),LEN(H146))&gt;2*MIN(LEN(E146),LEN(F146),LEN(G146),LEN(H146)),"Review answer lengths",""))</x:f>
      </x:c>
      <x:c r="AA146" s="66" t="str">
        <x:f t="shared" si="9">IF(A146="","",IF(COUNTIF($A$2:$A$301,A146)&gt;1,"Duplicate ID",IF(COUNTIF($D$2:$D$301,D146)&gt;1,"Review repeated text","")))</x:f>
      </x:c>
      <x:c r="AB146" s="66" t="str">
        <x:f t="shared" si="10">IF(A146="","","Unique string or number; no numeric range required")</x:f>
      </x:c>
      <x:c r="AC146" s="66" t="str">
        <x:f>IF(A146="","",IF(OR(B146="",D146="",E146="",F146="",G146="",H146="",J146="",K146="",L146="",M146="",O146="",P146="",AND(I146="",AG146=""),AND(B146&lt;&gt;"repair",B146&lt;&gt;"bridge",C146="")),"INCOMPLETE","CHECK ONLINE"))</x:f>
      </x:c>
      <x:c r="AD146" s="67" t="str">
        <x:f>IF(A146="","",IF(AC146="INCOMPLETE","Fill required fields including RepairSkill and an answer. See Instructions.","Copy all columns with headers to the browser validator for full schema, assets and mode checks."))</x:f>
      </x:c>
      <x:c r="AE146" s="67" t="str">
        <x:f t="shared" si="11">IF(A146="","","https://masteryquests.org/tools/question-bank-validator/")</x:f>
      </x:c>
      <x:c r="AF146" s="60"/>
      <x:c r="AH146" s="60"/>
      <x:c r="AI146" s="60"/>
    </x:row>
    <x:row r="147" ht="45" customHeight="1">
      <x:c r="A147" s="15"/>
      <x:c r="B147" s="15"/>
      <x:c r="C147" s="15"/>
      <x:c r="D147" s="12"/>
      <x:c r="E147" s="12"/>
      <x:c r="F147" s="12"/>
      <x:c r="G147" s="12"/>
      <x:c r="H147" s="12"/>
      <x:c r="I147" s="15"/>
      <x:c r="J147" s="12"/>
      <x:c r="K147" s="12"/>
      <x:c r="L147" s="12"/>
      <x:c r="M147" s="12"/>
      <x:c r="N147" s="12"/>
      <x:c r="O147" s="13"/>
      <x:c r="P147" s="13"/>
      <x:c r="Q147" s="13"/>
      <x:c r="R147" s="13"/>
      <x:c r="S147" s="13"/>
      <x:c r="T147" s="13"/>
      <x:c r="U147" s="14"/>
      <x:c r="V147" s="14"/>
      <x:c r="W147" s="16"/>
      <x:c r="X147" s="16"/>
      <x:c r="Y147" s="14"/>
      <x:c r="Z147" s="66" t="str">
        <x:f t="shared" si="8">IF(A147="","",IF(MAX(LEN(E147),LEN(F147),LEN(G147),LEN(H147))&gt;2*MIN(LEN(E147),LEN(F147),LEN(G147),LEN(H147)),"Review answer lengths",""))</x:f>
      </x:c>
      <x:c r="AA147" s="66" t="str">
        <x:f t="shared" si="9">IF(A147="","",IF(COUNTIF($A$2:$A$301,A147)&gt;1,"Duplicate ID",IF(COUNTIF($D$2:$D$301,D147)&gt;1,"Review repeated text","")))</x:f>
      </x:c>
      <x:c r="AB147" s="66" t="str">
        <x:f t="shared" si="10">IF(A147="","","Unique string or number; no numeric range required")</x:f>
      </x:c>
      <x:c r="AC147" s="66" t="str">
        <x:f>IF(A147="","",IF(OR(B147="",D147="",E147="",F147="",G147="",H147="",J147="",K147="",L147="",M147="",O147="",P147="",AND(I147="",AG147=""),AND(B147&lt;&gt;"repair",B147&lt;&gt;"bridge",C147="")),"INCOMPLETE","CHECK ONLINE"))</x:f>
      </x:c>
      <x:c r="AD147" s="67" t="str">
        <x:f>IF(A147="","",IF(AC147="INCOMPLETE","Fill required fields including RepairSkill and an answer. See Instructions.","Copy all columns with headers to the browser validator for full schema, assets and mode checks."))</x:f>
      </x:c>
      <x:c r="AE147" s="67" t="str">
        <x:f t="shared" si="11">IF(A147="","","https://masteryquests.org/tools/question-bank-validator/")</x:f>
      </x:c>
      <x:c r="AF147" s="60"/>
      <x:c r="AH147" s="60"/>
      <x:c r="AI147" s="60"/>
    </x:row>
    <x:row r="148" ht="45" customHeight="1">
      <x:c r="A148" s="15"/>
      <x:c r="B148" s="15"/>
      <x:c r="C148" s="15"/>
      <x:c r="D148" s="12"/>
      <x:c r="E148" s="12"/>
      <x:c r="F148" s="12"/>
      <x:c r="G148" s="12"/>
      <x:c r="H148" s="12"/>
      <x:c r="I148" s="15"/>
      <x:c r="J148" s="12"/>
      <x:c r="K148" s="12"/>
      <x:c r="L148" s="12"/>
      <x:c r="M148" s="12"/>
      <x:c r="N148" s="12"/>
      <x:c r="O148" s="13"/>
      <x:c r="P148" s="13"/>
      <x:c r="Q148" s="13"/>
      <x:c r="R148" s="13"/>
      <x:c r="S148" s="13"/>
      <x:c r="T148" s="13"/>
      <x:c r="U148" s="14"/>
      <x:c r="V148" s="14"/>
      <x:c r="W148" s="16"/>
      <x:c r="X148" s="16"/>
      <x:c r="Y148" s="14"/>
      <x:c r="Z148" s="66" t="str">
        <x:f t="shared" si="8">IF(A148="","",IF(MAX(LEN(E148),LEN(F148),LEN(G148),LEN(H148))&gt;2*MIN(LEN(E148),LEN(F148),LEN(G148),LEN(H148)),"Review answer lengths",""))</x:f>
      </x:c>
      <x:c r="AA148" s="66" t="str">
        <x:f t="shared" si="9">IF(A148="","",IF(COUNTIF($A$2:$A$301,A148)&gt;1,"Duplicate ID",IF(COUNTIF($D$2:$D$301,D148)&gt;1,"Review repeated text","")))</x:f>
      </x:c>
      <x:c r="AB148" s="66" t="str">
        <x:f t="shared" si="10">IF(A148="","","Unique string or number; no numeric range required")</x:f>
      </x:c>
      <x:c r="AC148" s="66" t="str">
        <x:f>IF(A148="","",IF(OR(B148="",D148="",E148="",F148="",G148="",H148="",J148="",K148="",L148="",M148="",O148="",P148="",AND(I148="",AG148=""),AND(B148&lt;&gt;"repair",B148&lt;&gt;"bridge",C148="")),"INCOMPLETE","CHECK ONLINE"))</x:f>
      </x:c>
      <x:c r="AD148" s="67" t="str">
        <x:f>IF(A148="","",IF(AC148="INCOMPLETE","Fill required fields including RepairSkill and an answer. See Instructions.","Copy all columns with headers to the browser validator for full schema, assets and mode checks."))</x:f>
      </x:c>
      <x:c r="AE148" s="67" t="str">
        <x:f t="shared" si="11">IF(A148="","","https://masteryquests.org/tools/question-bank-validator/")</x:f>
      </x:c>
      <x:c r="AF148" s="60"/>
      <x:c r="AH148" s="60"/>
      <x:c r="AI148" s="60"/>
    </x:row>
    <x:row r="149" ht="45" customHeight="1">
      <x:c r="A149" s="15"/>
      <x:c r="B149" s="15"/>
      <x:c r="C149" s="15"/>
      <x:c r="D149" s="12"/>
      <x:c r="E149" s="12"/>
      <x:c r="F149" s="12"/>
      <x:c r="G149" s="12"/>
      <x:c r="H149" s="12"/>
      <x:c r="I149" s="15"/>
      <x:c r="J149" s="12"/>
      <x:c r="K149" s="12"/>
      <x:c r="L149" s="12"/>
      <x:c r="M149" s="12"/>
      <x:c r="N149" s="12"/>
      <x:c r="O149" s="13"/>
      <x:c r="P149" s="13"/>
      <x:c r="Q149" s="13"/>
      <x:c r="R149" s="13"/>
      <x:c r="S149" s="13"/>
      <x:c r="T149" s="13"/>
      <x:c r="U149" s="14"/>
      <x:c r="V149" s="14"/>
      <x:c r="W149" s="16"/>
      <x:c r="X149" s="16"/>
      <x:c r="Y149" s="14"/>
      <x:c r="Z149" s="66" t="str">
        <x:f t="shared" si="8">IF(A149="","",IF(MAX(LEN(E149),LEN(F149),LEN(G149),LEN(H149))&gt;2*MIN(LEN(E149),LEN(F149),LEN(G149),LEN(H149)),"Review answer lengths",""))</x:f>
      </x:c>
      <x:c r="AA149" s="66" t="str">
        <x:f t="shared" si="9">IF(A149="","",IF(COUNTIF($A$2:$A$301,A149)&gt;1,"Duplicate ID",IF(COUNTIF($D$2:$D$301,D149)&gt;1,"Review repeated text","")))</x:f>
      </x:c>
      <x:c r="AB149" s="66" t="str">
        <x:f t="shared" si="10">IF(A149="","","Unique string or number; no numeric range required")</x:f>
      </x:c>
      <x:c r="AC149" s="66" t="str">
        <x:f>IF(A149="","",IF(OR(B149="",D149="",E149="",F149="",G149="",H149="",J149="",K149="",L149="",M149="",O149="",P149="",AND(I149="",AG149=""),AND(B149&lt;&gt;"repair",B149&lt;&gt;"bridge",C149="")),"INCOMPLETE","CHECK ONLINE"))</x:f>
      </x:c>
      <x:c r="AD149" s="67" t="str">
        <x:f>IF(A149="","",IF(AC149="INCOMPLETE","Fill required fields including RepairSkill and an answer. See Instructions.","Copy all columns with headers to the browser validator for full schema, assets and mode checks."))</x:f>
      </x:c>
      <x:c r="AE149" s="67" t="str">
        <x:f t="shared" si="11">IF(A149="","","https://masteryquests.org/tools/question-bank-validator/")</x:f>
      </x:c>
      <x:c r="AF149" s="60"/>
      <x:c r="AH149" s="60"/>
      <x:c r="AI149" s="60"/>
    </x:row>
    <x:row r="150" ht="45" customHeight="1">
      <x:c r="A150" s="15"/>
      <x:c r="B150" s="15"/>
      <x:c r="C150" s="15"/>
      <x:c r="D150" s="12"/>
      <x:c r="E150" s="12"/>
      <x:c r="F150" s="12"/>
      <x:c r="G150" s="12"/>
      <x:c r="H150" s="12"/>
      <x:c r="I150" s="15"/>
      <x:c r="J150" s="12"/>
      <x:c r="K150" s="12"/>
      <x:c r="L150" s="12"/>
      <x:c r="M150" s="12"/>
      <x:c r="N150" s="12"/>
      <x:c r="O150" s="13"/>
      <x:c r="P150" s="13"/>
      <x:c r="Q150" s="13"/>
      <x:c r="R150" s="13"/>
      <x:c r="S150" s="13"/>
      <x:c r="T150" s="13"/>
      <x:c r="U150" s="14"/>
      <x:c r="V150" s="14"/>
      <x:c r="W150" s="16"/>
      <x:c r="X150" s="16"/>
      <x:c r="Y150" s="14"/>
      <x:c r="Z150" s="66" t="str">
        <x:f t="shared" si="8">IF(A150="","",IF(MAX(LEN(E150),LEN(F150),LEN(G150),LEN(H150))&gt;2*MIN(LEN(E150),LEN(F150),LEN(G150),LEN(H150)),"Review answer lengths",""))</x:f>
      </x:c>
      <x:c r="AA150" s="66" t="str">
        <x:f t="shared" si="9">IF(A150="","",IF(COUNTIF($A$2:$A$301,A150)&gt;1,"Duplicate ID",IF(COUNTIF($D$2:$D$301,D150)&gt;1,"Review repeated text","")))</x:f>
      </x:c>
      <x:c r="AB150" s="66" t="str">
        <x:f t="shared" si="10">IF(A150="","","Unique string or number; no numeric range required")</x:f>
      </x:c>
      <x:c r="AC150" s="66" t="str">
        <x:f>IF(A150="","",IF(OR(B150="",D150="",E150="",F150="",G150="",H150="",J150="",K150="",L150="",M150="",O150="",P150="",AND(I150="",AG150=""),AND(B150&lt;&gt;"repair",B150&lt;&gt;"bridge",C150="")),"INCOMPLETE","CHECK ONLINE"))</x:f>
      </x:c>
      <x:c r="AD150" s="67" t="str">
        <x:f>IF(A150="","",IF(AC150="INCOMPLETE","Fill required fields including RepairSkill and an answer. See Instructions.","Copy all columns with headers to the browser validator for full schema, assets and mode checks."))</x:f>
      </x:c>
      <x:c r="AE150" s="67" t="str">
        <x:f t="shared" si="11">IF(A150="","","https://masteryquests.org/tools/question-bank-validator/")</x:f>
      </x:c>
      <x:c r="AF150" s="60"/>
      <x:c r="AH150" s="60"/>
      <x:c r="AI150" s="60"/>
    </x:row>
    <x:row r="151" ht="45" customHeight="1">
      <x:c r="A151" s="15"/>
      <x:c r="B151" s="15"/>
      <x:c r="C151" s="15"/>
      <x:c r="D151" s="12"/>
      <x:c r="E151" s="12"/>
      <x:c r="F151" s="12"/>
      <x:c r="G151" s="12"/>
      <x:c r="H151" s="12"/>
      <x:c r="I151" s="15"/>
      <x:c r="J151" s="12"/>
      <x:c r="K151" s="12"/>
      <x:c r="L151" s="12"/>
      <x:c r="M151" s="12"/>
      <x:c r="N151" s="12"/>
      <x:c r="O151" s="13"/>
      <x:c r="P151" s="13"/>
      <x:c r="Q151" s="13"/>
      <x:c r="R151" s="13"/>
      <x:c r="S151" s="13"/>
      <x:c r="T151" s="13"/>
      <x:c r="U151" s="14"/>
      <x:c r="V151" s="14"/>
      <x:c r="W151" s="16"/>
      <x:c r="X151" s="16"/>
      <x:c r="Y151" s="14"/>
      <x:c r="Z151" s="66" t="str">
        <x:f t="shared" si="8">IF(A151="","",IF(MAX(LEN(E151),LEN(F151),LEN(G151),LEN(H151))&gt;2*MIN(LEN(E151),LEN(F151),LEN(G151),LEN(H151)),"Review answer lengths",""))</x:f>
      </x:c>
      <x:c r="AA151" s="66" t="str">
        <x:f t="shared" si="9">IF(A151="","",IF(COUNTIF($A$2:$A$301,A151)&gt;1,"Duplicate ID",IF(COUNTIF($D$2:$D$301,D151)&gt;1,"Review repeated text","")))</x:f>
      </x:c>
      <x:c r="AB151" s="66" t="str">
        <x:f t="shared" si="10">IF(A151="","","Unique string or number; no numeric range required")</x:f>
      </x:c>
      <x:c r="AC151" s="66" t="str">
        <x:f>IF(A151="","",IF(OR(B151="",D151="",E151="",F151="",G151="",H151="",J151="",K151="",L151="",M151="",O151="",P151="",AND(I151="",AG151=""),AND(B151&lt;&gt;"repair",B151&lt;&gt;"bridge",C151="")),"INCOMPLETE","CHECK ONLINE"))</x:f>
      </x:c>
      <x:c r="AD151" s="67" t="str">
        <x:f>IF(A151="","",IF(AC151="INCOMPLETE","Fill required fields including RepairSkill and an answer. See Instructions.","Copy all columns with headers to the browser validator for full schema, assets and mode checks."))</x:f>
      </x:c>
      <x:c r="AE151" s="67" t="str">
        <x:f t="shared" si="11">IF(A151="","","https://masteryquests.org/tools/question-bank-validator/")</x:f>
      </x:c>
      <x:c r="AF151" s="60"/>
      <x:c r="AH151" s="60"/>
      <x:c r="AI151" s="60"/>
    </x:row>
    <x:row r="152" ht="45" customHeight="1">
      <x:c r="A152" s="15"/>
      <x:c r="B152" s="15"/>
      <x:c r="C152" s="15"/>
      <x:c r="D152" s="12"/>
      <x:c r="E152" s="12"/>
      <x:c r="F152" s="12"/>
      <x:c r="G152" s="12"/>
      <x:c r="H152" s="12"/>
      <x:c r="I152" s="15"/>
      <x:c r="J152" s="12"/>
      <x:c r="K152" s="12"/>
      <x:c r="L152" s="12"/>
      <x:c r="M152" s="12"/>
      <x:c r="N152" s="12"/>
      <x:c r="O152" s="13"/>
      <x:c r="P152" s="13"/>
      <x:c r="Q152" s="13"/>
      <x:c r="R152" s="13"/>
      <x:c r="S152" s="13"/>
      <x:c r="T152" s="13"/>
      <x:c r="U152" s="14"/>
      <x:c r="V152" s="14"/>
      <x:c r="W152" s="16"/>
      <x:c r="X152" s="16"/>
      <x:c r="Y152" s="14"/>
      <x:c r="Z152" s="66" t="str">
        <x:f t="shared" si="8">IF(A152="","",IF(MAX(LEN(E152),LEN(F152),LEN(G152),LEN(H152))&gt;2*MIN(LEN(E152),LEN(F152),LEN(G152),LEN(H152)),"Review answer lengths",""))</x:f>
      </x:c>
      <x:c r="AA152" s="66" t="str">
        <x:f t="shared" si="9">IF(A152="","",IF(COUNTIF($A$2:$A$301,A152)&gt;1,"Duplicate ID",IF(COUNTIF($D$2:$D$301,D152)&gt;1,"Review repeated text","")))</x:f>
      </x:c>
      <x:c r="AB152" s="66" t="str">
        <x:f t="shared" si="10">IF(A152="","","Unique string or number; no numeric range required")</x:f>
      </x:c>
      <x:c r="AC152" s="66" t="str">
        <x:f>IF(A152="","",IF(OR(B152="",D152="",E152="",F152="",G152="",H152="",J152="",K152="",L152="",M152="",O152="",P152="",AND(I152="",AG152=""),AND(B152&lt;&gt;"repair",B152&lt;&gt;"bridge",C152="")),"INCOMPLETE","CHECK ONLINE"))</x:f>
      </x:c>
      <x:c r="AD152" s="67" t="str">
        <x:f>IF(A152="","",IF(AC152="INCOMPLETE","Fill required fields including RepairSkill and an answer. See Instructions.","Copy all columns with headers to the browser validator for full schema, assets and mode checks."))</x:f>
      </x:c>
      <x:c r="AE152" s="67" t="str">
        <x:f t="shared" si="11">IF(A152="","","https://masteryquests.org/tools/question-bank-validator/")</x:f>
      </x:c>
      <x:c r="AF152" s="60"/>
      <x:c r="AH152" s="60"/>
      <x:c r="AI152" s="60"/>
    </x:row>
    <x:row r="153" ht="45" customHeight="1">
      <x:c r="A153" s="15"/>
      <x:c r="B153" s="15"/>
      <x:c r="C153" s="15"/>
      <x:c r="D153" s="12"/>
      <x:c r="E153" s="12"/>
      <x:c r="F153" s="12"/>
      <x:c r="G153" s="12"/>
      <x:c r="H153" s="12"/>
      <x:c r="I153" s="15"/>
      <x:c r="J153" s="12"/>
      <x:c r="K153" s="12"/>
      <x:c r="L153" s="12"/>
      <x:c r="M153" s="12"/>
      <x:c r="N153" s="12"/>
      <x:c r="O153" s="13"/>
      <x:c r="P153" s="13"/>
      <x:c r="Q153" s="13"/>
      <x:c r="R153" s="13"/>
      <x:c r="S153" s="13"/>
      <x:c r="T153" s="13"/>
      <x:c r="U153" s="14"/>
      <x:c r="V153" s="14"/>
      <x:c r="W153" s="16"/>
      <x:c r="X153" s="16"/>
      <x:c r="Y153" s="14"/>
      <x:c r="Z153" s="66" t="str">
        <x:f t="shared" si="8">IF(A153="","",IF(MAX(LEN(E153),LEN(F153),LEN(G153),LEN(H153))&gt;2*MIN(LEN(E153),LEN(F153),LEN(G153),LEN(H153)),"Review answer lengths",""))</x:f>
      </x:c>
      <x:c r="AA153" s="66" t="str">
        <x:f t="shared" si="9">IF(A153="","",IF(COUNTIF($A$2:$A$301,A153)&gt;1,"Duplicate ID",IF(COUNTIF($D$2:$D$301,D153)&gt;1,"Review repeated text","")))</x:f>
      </x:c>
      <x:c r="AB153" s="66" t="str">
        <x:f t="shared" si="10">IF(A153="","","Unique string or number; no numeric range required")</x:f>
      </x:c>
      <x:c r="AC153" s="66" t="str">
        <x:f>IF(A153="","",IF(OR(B153="",D153="",E153="",F153="",G153="",H153="",J153="",K153="",L153="",M153="",O153="",P153="",AND(I153="",AG153=""),AND(B153&lt;&gt;"repair",B153&lt;&gt;"bridge",C153="")),"INCOMPLETE","CHECK ONLINE"))</x:f>
      </x:c>
      <x:c r="AD153" s="67" t="str">
        <x:f>IF(A153="","",IF(AC153="INCOMPLETE","Fill required fields including RepairSkill and an answer. See Instructions.","Copy all columns with headers to the browser validator for full schema, assets and mode checks."))</x:f>
      </x:c>
      <x:c r="AE153" s="67" t="str">
        <x:f t="shared" si="11">IF(A153="","","https://masteryquests.org/tools/question-bank-validator/")</x:f>
      </x:c>
      <x:c r="AF153" s="60"/>
      <x:c r="AH153" s="60"/>
      <x:c r="AI153" s="60"/>
    </x:row>
    <x:row r="154" ht="45" customHeight="1">
      <x:c r="A154" s="15"/>
      <x:c r="B154" s="15"/>
      <x:c r="C154" s="15"/>
      <x:c r="D154" s="12"/>
      <x:c r="E154" s="12"/>
      <x:c r="F154" s="12"/>
      <x:c r="G154" s="12"/>
      <x:c r="H154" s="12"/>
      <x:c r="I154" s="15"/>
      <x:c r="J154" s="12"/>
      <x:c r="K154" s="12"/>
      <x:c r="L154" s="12"/>
      <x:c r="M154" s="12"/>
      <x:c r="N154" s="12"/>
      <x:c r="O154" s="13"/>
      <x:c r="P154" s="13"/>
      <x:c r="Q154" s="13"/>
      <x:c r="R154" s="13"/>
      <x:c r="S154" s="13"/>
      <x:c r="T154" s="13"/>
      <x:c r="U154" s="14"/>
      <x:c r="V154" s="14"/>
      <x:c r="W154" s="16"/>
      <x:c r="X154" s="16"/>
      <x:c r="Y154" s="14"/>
      <x:c r="Z154" s="66" t="str">
        <x:f t="shared" si="8">IF(A154="","",IF(MAX(LEN(E154),LEN(F154),LEN(G154),LEN(H154))&gt;2*MIN(LEN(E154),LEN(F154),LEN(G154),LEN(H154)),"Review answer lengths",""))</x:f>
      </x:c>
      <x:c r="AA154" s="66" t="str">
        <x:f t="shared" si="9">IF(A154="","",IF(COUNTIF($A$2:$A$301,A154)&gt;1,"Duplicate ID",IF(COUNTIF($D$2:$D$301,D154)&gt;1,"Review repeated text","")))</x:f>
      </x:c>
      <x:c r="AB154" s="66" t="str">
        <x:f t="shared" si="10">IF(A154="","","Unique string or number; no numeric range required")</x:f>
      </x:c>
      <x:c r="AC154" s="66" t="str">
        <x:f>IF(A154="","",IF(OR(B154="",D154="",E154="",F154="",G154="",H154="",J154="",K154="",L154="",M154="",O154="",P154="",AND(I154="",AG154=""),AND(B154&lt;&gt;"repair",B154&lt;&gt;"bridge",C154="")),"INCOMPLETE","CHECK ONLINE"))</x:f>
      </x:c>
      <x:c r="AD154" s="67" t="str">
        <x:f>IF(A154="","",IF(AC154="INCOMPLETE","Fill required fields including RepairSkill and an answer. See Instructions.","Copy all columns with headers to the browser validator for full schema, assets and mode checks."))</x:f>
      </x:c>
      <x:c r="AE154" s="67" t="str">
        <x:f t="shared" si="11">IF(A154="","","https://masteryquests.org/tools/question-bank-validator/")</x:f>
      </x:c>
      <x:c r="AF154" s="60"/>
      <x:c r="AH154" s="60"/>
      <x:c r="AI154" s="60"/>
    </x:row>
    <x:row r="155" ht="45" customHeight="1">
      <x:c r="A155" s="15"/>
      <x:c r="B155" s="15"/>
      <x:c r="C155" s="15"/>
      <x:c r="D155" s="12"/>
      <x:c r="E155" s="12"/>
      <x:c r="F155" s="12"/>
      <x:c r="G155" s="12"/>
      <x:c r="H155" s="12"/>
      <x:c r="I155" s="15"/>
      <x:c r="J155" s="12"/>
      <x:c r="K155" s="12"/>
      <x:c r="L155" s="12"/>
      <x:c r="M155" s="12"/>
      <x:c r="N155" s="12"/>
      <x:c r="O155" s="13"/>
      <x:c r="P155" s="13"/>
      <x:c r="Q155" s="13"/>
      <x:c r="R155" s="13"/>
      <x:c r="S155" s="13"/>
      <x:c r="T155" s="13"/>
      <x:c r="U155" s="14"/>
      <x:c r="V155" s="14"/>
      <x:c r="W155" s="16"/>
      <x:c r="X155" s="16"/>
      <x:c r="Y155" s="14"/>
      <x:c r="Z155" s="66" t="str">
        <x:f t="shared" si="8">IF(A155="","",IF(MAX(LEN(E155),LEN(F155),LEN(G155),LEN(H155))&gt;2*MIN(LEN(E155),LEN(F155),LEN(G155),LEN(H155)),"Review answer lengths",""))</x:f>
      </x:c>
      <x:c r="AA155" s="66" t="str">
        <x:f t="shared" si="9">IF(A155="","",IF(COUNTIF($A$2:$A$301,A155)&gt;1,"Duplicate ID",IF(COUNTIF($D$2:$D$301,D155)&gt;1,"Review repeated text","")))</x:f>
      </x:c>
      <x:c r="AB155" s="66" t="str">
        <x:f t="shared" si="10">IF(A155="","","Unique string or number; no numeric range required")</x:f>
      </x:c>
      <x:c r="AC155" s="66" t="str">
        <x:f>IF(A155="","",IF(OR(B155="",D155="",E155="",F155="",G155="",H155="",J155="",K155="",L155="",M155="",O155="",P155="",AND(I155="",AG155=""),AND(B155&lt;&gt;"repair",B155&lt;&gt;"bridge",C155="")),"INCOMPLETE","CHECK ONLINE"))</x:f>
      </x:c>
      <x:c r="AD155" s="67" t="str">
        <x:f>IF(A155="","",IF(AC155="INCOMPLETE","Fill required fields including RepairSkill and an answer. See Instructions.","Copy all columns with headers to the browser validator for full schema, assets and mode checks."))</x:f>
      </x:c>
      <x:c r="AE155" s="67" t="str">
        <x:f t="shared" si="11">IF(A155="","","https://masteryquests.org/tools/question-bank-validator/")</x:f>
      </x:c>
      <x:c r="AF155" s="60"/>
      <x:c r="AH155" s="60"/>
      <x:c r="AI155" s="60"/>
    </x:row>
    <x:row r="156" ht="45" customHeight="1">
      <x:c r="A156" s="15"/>
      <x:c r="B156" s="15"/>
      <x:c r="C156" s="15"/>
      <x:c r="D156" s="12"/>
      <x:c r="E156" s="12"/>
      <x:c r="F156" s="12"/>
      <x:c r="G156" s="12"/>
      <x:c r="H156" s="12"/>
      <x:c r="I156" s="15"/>
      <x:c r="J156" s="12"/>
      <x:c r="K156" s="12"/>
      <x:c r="L156" s="12"/>
      <x:c r="M156" s="12"/>
      <x:c r="N156" s="12"/>
      <x:c r="O156" s="13"/>
      <x:c r="P156" s="13"/>
      <x:c r="Q156" s="13"/>
      <x:c r="R156" s="13"/>
      <x:c r="S156" s="13"/>
      <x:c r="T156" s="13"/>
      <x:c r="U156" s="14"/>
      <x:c r="V156" s="14"/>
      <x:c r="W156" s="16"/>
      <x:c r="X156" s="16"/>
      <x:c r="Y156" s="14"/>
      <x:c r="Z156" s="66" t="str">
        <x:f t="shared" si="8">IF(A156="","",IF(MAX(LEN(E156),LEN(F156),LEN(G156),LEN(H156))&gt;2*MIN(LEN(E156),LEN(F156),LEN(G156),LEN(H156)),"Review answer lengths",""))</x:f>
      </x:c>
      <x:c r="AA156" s="66" t="str">
        <x:f t="shared" si="9">IF(A156="","",IF(COUNTIF($A$2:$A$301,A156)&gt;1,"Duplicate ID",IF(COUNTIF($D$2:$D$301,D156)&gt;1,"Review repeated text","")))</x:f>
      </x:c>
      <x:c r="AB156" s="66" t="str">
        <x:f t="shared" si="10">IF(A156="","","Unique string or number; no numeric range required")</x:f>
      </x:c>
      <x:c r="AC156" s="66" t="str">
        <x:f>IF(A156="","",IF(OR(B156="",D156="",E156="",F156="",G156="",H156="",J156="",K156="",L156="",M156="",O156="",P156="",AND(I156="",AG156=""),AND(B156&lt;&gt;"repair",B156&lt;&gt;"bridge",C156="")),"INCOMPLETE","CHECK ONLINE"))</x:f>
      </x:c>
      <x:c r="AD156" s="67" t="str">
        <x:f>IF(A156="","",IF(AC156="INCOMPLETE","Fill required fields including RepairSkill and an answer. See Instructions.","Copy all columns with headers to the browser validator for full schema, assets and mode checks."))</x:f>
      </x:c>
      <x:c r="AE156" s="67" t="str">
        <x:f t="shared" si="11">IF(A156="","","https://masteryquests.org/tools/question-bank-validator/")</x:f>
      </x:c>
      <x:c r="AF156" s="60"/>
      <x:c r="AH156" s="60"/>
      <x:c r="AI156" s="60"/>
    </x:row>
    <x:row r="157" ht="45" customHeight="1">
      <x:c r="A157" s="15"/>
      <x:c r="B157" s="15"/>
      <x:c r="C157" s="15"/>
      <x:c r="D157" s="12"/>
      <x:c r="E157" s="12"/>
      <x:c r="F157" s="12"/>
      <x:c r="G157" s="12"/>
      <x:c r="H157" s="12"/>
      <x:c r="I157" s="15"/>
      <x:c r="J157" s="12"/>
      <x:c r="K157" s="12"/>
      <x:c r="L157" s="12"/>
      <x:c r="M157" s="12"/>
      <x:c r="N157" s="12"/>
      <x:c r="O157" s="13"/>
      <x:c r="P157" s="13"/>
      <x:c r="Q157" s="13"/>
      <x:c r="R157" s="13"/>
      <x:c r="S157" s="13"/>
      <x:c r="T157" s="13"/>
      <x:c r="U157" s="14"/>
      <x:c r="V157" s="14"/>
      <x:c r="W157" s="16"/>
      <x:c r="X157" s="16"/>
      <x:c r="Y157" s="14"/>
      <x:c r="Z157" s="66" t="str">
        <x:f t="shared" si="8">IF(A157="","",IF(MAX(LEN(E157),LEN(F157),LEN(G157),LEN(H157))&gt;2*MIN(LEN(E157),LEN(F157),LEN(G157),LEN(H157)),"Review answer lengths",""))</x:f>
      </x:c>
      <x:c r="AA157" s="66" t="str">
        <x:f t="shared" si="9">IF(A157="","",IF(COUNTIF($A$2:$A$301,A157)&gt;1,"Duplicate ID",IF(COUNTIF($D$2:$D$301,D157)&gt;1,"Review repeated text","")))</x:f>
      </x:c>
      <x:c r="AB157" s="66" t="str">
        <x:f t="shared" si="10">IF(A157="","","Unique string or number; no numeric range required")</x:f>
      </x:c>
      <x:c r="AC157" s="66" t="str">
        <x:f>IF(A157="","",IF(OR(B157="",D157="",E157="",F157="",G157="",H157="",J157="",K157="",L157="",M157="",O157="",P157="",AND(I157="",AG157=""),AND(B157&lt;&gt;"repair",B157&lt;&gt;"bridge",C157="")),"INCOMPLETE","CHECK ONLINE"))</x:f>
      </x:c>
      <x:c r="AD157" s="67" t="str">
        <x:f>IF(A157="","",IF(AC157="INCOMPLETE","Fill required fields including RepairSkill and an answer. See Instructions.","Copy all columns with headers to the browser validator for full schema, assets and mode checks."))</x:f>
      </x:c>
      <x:c r="AE157" s="67" t="str">
        <x:f t="shared" si="11">IF(A157="","","https://masteryquests.org/tools/question-bank-validator/")</x:f>
      </x:c>
      <x:c r="AF157" s="60"/>
      <x:c r="AH157" s="60"/>
      <x:c r="AI157" s="60"/>
    </x:row>
    <x:row r="158" ht="45" customHeight="1">
      <x:c r="A158" s="15"/>
      <x:c r="B158" s="15"/>
      <x:c r="C158" s="15"/>
      <x:c r="D158" s="12"/>
      <x:c r="E158" s="12"/>
      <x:c r="F158" s="12"/>
      <x:c r="G158" s="12"/>
      <x:c r="H158" s="12"/>
      <x:c r="I158" s="15"/>
      <x:c r="J158" s="12"/>
      <x:c r="K158" s="12"/>
      <x:c r="L158" s="12"/>
      <x:c r="M158" s="12"/>
      <x:c r="N158" s="12"/>
      <x:c r="O158" s="13"/>
      <x:c r="P158" s="13"/>
      <x:c r="Q158" s="13"/>
      <x:c r="R158" s="13"/>
      <x:c r="S158" s="13"/>
      <x:c r="T158" s="13"/>
      <x:c r="U158" s="14"/>
      <x:c r="V158" s="14"/>
      <x:c r="W158" s="16"/>
      <x:c r="X158" s="16"/>
      <x:c r="Y158" s="14"/>
      <x:c r="Z158" s="66" t="str">
        <x:f t="shared" si="8">IF(A158="","",IF(MAX(LEN(E158),LEN(F158),LEN(G158),LEN(H158))&gt;2*MIN(LEN(E158),LEN(F158),LEN(G158),LEN(H158)),"Review answer lengths",""))</x:f>
      </x:c>
      <x:c r="AA158" s="66" t="str">
        <x:f t="shared" si="9">IF(A158="","",IF(COUNTIF($A$2:$A$301,A158)&gt;1,"Duplicate ID",IF(COUNTIF($D$2:$D$301,D158)&gt;1,"Review repeated text","")))</x:f>
      </x:c>
      <x:c r="AB158" s="66" t="str">
        <x:f t="shared" si="10">IF(A158="","","Unique string or number; no numeric range required")</x:f>
      </x:c>
      <x:c r="AC158" s="66" t="str">
        <x:f>IF(A158="","",IF(OR(B158="",D158="",E158="",F158="",G158="",H158="",J158="",K158="",L158="",M158="",O158="",P158="",AND(I158="",AG158=""),AND(B158&lt;&gt;"repair",B158&lt;&gt;"bridge",C158="")),"INCOMPLETE","CHECK ONLINE"))</x:f>
      </x:c>
      <x:c r="AD158" s="67" t="str">
        <x:f>IF(A158="","",IF(AC158="INCOMPLETE","Fill required fields including RepairSkill and an answer. See Instructions.","Copy all columns with headers to the browser validator for full schema, assets and mode checks."))</x:f>
      </x:c>
      <x:c r="AE158" s="67" t="str">
        <x:f t="shared" si="11">IF(A158="","","https://masteryquests.org/tools/question-bank-validator/")</x:f>
      </x:c>
      <x:c r="AF158" s="60"/>
      <x:c r="AH158" s="60"/>
      <x:c r="AI158" s="60"/>
    </x:row>
    <x:row r="159" ht="45" customHeight="1">
      <x:c r="A159" s="15"/>
      <x:c r="B159" s="15"/>
      <x:c r="C159" s="15"/>
      <x:c r="D159" s="12"/>
      <x:c r="E159" s="12"/>
      <x:c r="F159" s="12"/>
      <x:c r="G159" s="12"/>
      <x:c r="H159" s="12"/>
      <x:c r="I159" s="15"/>
      <x:c r="J159" s="12"/>
      <x:c r="K159" s="12"/>
      <x:c r="L159" s="12"/>
      <x:c r="M159" s="12"/>
      <x:c r="N159" s="12"/>
      <x:c r="O159" s="13"/>
      <x:c r="P159" s="13"/>
      <x:c r="Q159" s="13"/>
      <x:c r="R159" s="13"/>
      <x:c r="S159" s="13"/>
      <x:c r="T159" s="13"/>
      <x:c r="U159" s="14"/>
      <x:c r="V159" s="14"/>
      <x:c r="W159" s="16"/>
      <x:c r="X159" s="16"/>
      <x:c r="Y159" s="14"/>
      <x:c r="Z159" s="66" t="str">
        <x:f t="shared" si="8">IF(A159="","",IF(MAX(LEN(E159),LEN(F159),LEN(G159),LEN(H159))&gt;2*MIN(LEN(E159),LEN(F159),LEN(G159),LEN(H159)),"Review answer lengths",""))</x:f>
      </x:c>
      <x:c r="AA159" s="66" t="str">
        <x:f t="shared" si="9">IF(A159="","",IF(COUNTIF($A$2:$A$301,A159)&gt;1,"Duplicate ID",IF(COUNTIF($D$2:$D$301,D159)&gt;1,"Review repeated text","")))</x:f>
      </x:c>
      <x:c r="AB159" s="66" t="str">
        <x:f t="shared" si="10">IF(A159="","","Unique string or number; no numeric range required")</x:f>
      </x:c>
      <x:c r="AC159" s="66" t="str">
        <x:f>IF(A159="","",IF(OR(B159="",D159="",E159="",F159="",G159="",H159="",J159="",K159="",L159="",M159="",O159="",P159="",AND(I159="",AG159=""),AND(B159&lt;&gt;"repair",B159&lt;&gt;"bridge",C159="")),"INCOMPLETE","CHECK ONLINE"))</x:f>
      </x:c>
      <x:c r="AD159" s="67" t="str">
        <x:f>IF(A159="","",IF(AC159="INCOMPLETE","Fill required fields including RepairSkill and an answer. See Instructions.","Copy all columns with headers to the browser validator for full schema, assets and mode checks."))</x:f>
      </x:c>
      <x:c r="AE159" s="67" t="str">
        <x:f t="shared" si="11">IF(A159="","","https://masteryquests.org/tools/question-bank-validator/")</x:f>
      </x:c>
      <x:c r="AF159" s="60"/>
      <x:c r="AH159" s="60"/>
      <x:c r="AI159" s="60"/>
    </x:row>
    <x:row r="160" ht="45" customHeight="1">
      <x:c r="A160" s="15"/>
      <x:c r="B160" s="15"/>
      <x:c r="C160" s="15"/>
      <x:c r="D160" s="12"/>
      <x:c r="E160" s="12"/>
      <x:c r="F160" s="12"/>
      <x:c r="G160" s="12"/>
      <x:c r="H160" s="12"/>
      <x:c r="I160" s="15"/>
      <x:c r="J160" s="12"/>
      <x:c r="K160" s="12"/>
      <x:c r="L160" s="12"/>
      <x:c r="M160" s="12"/>
      <x:c r="N160" s="12"/>
      <x:c r="O160" s="13"/>
      <x:c r="P160" s="13"/>
      <x:c r="Q160" s="13"/>
      <x:c r="R160" s="13"/>
      <x:c r="S160" s="13"/>
      <x:c r="T160" s="13"/>
      <x:c r="U160" s="14"/>
      <x:c r="V160" s="14"/>
      <x:c r="W160" s="16"/>
      <x:c r="X160" s="16"/>
      <x:c r="Y160" s="14"/>
      <x:c r="Z160" s="66" t="str">
        <x:f t="shared" si="8">IF(A160="","",IF(MAX(LEN(E160),LEN(F160),LEN(G160),LEN(H160))&gt;2*MIN(LEN(E160),LEN(F160),LEN(G160),LEN(H160)),"Review answer lengths",""))</x:f>
      </x:c>
      <x:c r="AA160" s="66" t="str">
        <x:f t="shared" si="9">IF(A160="","",IF(COUNTIF($A$2:$A$301,A160)&gt;1,"Duplicate ID",IF(COUNTIF($D$2:$D$301,D160)&gt;1,"Review repeated text","")))</x:f>
      </x:c>
      <x:c r="AB160" s="66" t="str">
        <x:f t="shared" si="10">IF(A160="","","Unique string or number; no numeric range required")</x:f>
      </x:c>
      <x:c r="AC160" s="66" t="str">
        <x:f>IF(A160="","",IF(OR(B160="",D160="",E160="",F160="",G160="",H160="",J160="",K160="",L160="",M160="",O160="",P160="",AND(I160="",AG160=""),AND(B160&lt;&gt;"repair",B160&lt;&gt;"bridge",C160="")),"INCOMPLETE","CHECK ONLINE"))</x:f>
      </x:c>
      <x:c r="AD160" s="67" t="str">
        <x:f>IF(A160="","",IF(AC160="INCOMPLETE","Fill required fields including RepairSkill and an answer. See Instructions.","Copy all columns with headers to the browser validator for full schema, assets and mode checks."))</x:f>
      </x:c>
      <x:c r="AE160" s="67" t="str">
        <x:f t="shared" si="11">IF(A160="","","https://masteryquests.org/tools/question-bank-validator/")</x:f>
      </x:c>
      <x:c r="AF160" s="60"/>
      <x:c r="AH160" s="60"/>
      <x:c r="AI160" s="60"/>
    </x:row>
    <x:row r="161" ht="45" customHeight="1">
      <x:c r="A161" s="15"/>
      <x:c r="B161" s="15"/>
      <x:c r="C161" s="15"/>
      <x:c r="D161" s="12"/>
      <x:c r="E161" s="12"/>
      <x:c r="F161" s="12"/>
      <x:c r="G161" s="12"/>
      <x:c r="H161" s="12"/>
      <x:c r="I161" s="15"/>
      <x:c r="J161" s="12"/>
      <x:c r="K161" s="12"/>
      <x:c r="L161" s="12"/>
      <x:c r="M161" s="12"/>
      <x:c r="N161" s="12"/>
      <x:c r="O161" s="13"/>
      <x:c r="P161" s="13"/>
      <x:c r="Q161" s="13"/>
      <x:c r="R161" s="13"/>
      <x:c r="S161" s="13"/>
      <x:c r="T161" s="13"/>
      <x:c r="U161" s="14"/>
      <x:c r="V161" s="14"/>
      <x:c r="W161" s="16"/>
      <x:c r="X161" s="16"/>
      <x:c r="Y161" s="14"/>
      <x:c r="Z161" s="66" t="str">
        <x:f t="shared" si="8">IF(A161="","",IF(MAX(LEN(E161),LEN(F161),LEN(G161),LEN(H161))&gt;2*MIN(LEN(E161),LEN(F161),LEN(G161),LEN(H161)),"Review answer lengths",""))</x:f>
      </x:c>
      <x:c r="AA161" s="66" t="str">
        <x:f t="shared" si="9">IF(A161="","",IF(COUNTIF($A$2:$A$301,A161)&gt;1,"Duplicate ID",IF(COUNTIF($D$2:$D$301,D161)&gt;1,"Review repeated text","")))</x:f>
      </x:c>
      <x:c r="AB161" s="66" t="str">
        <x:f t="shared" si="10">IF(A161="","","Unique string or number; no numeric range required")</x:f>
      </x:c>
      <x:c r="AC161" s="66" t="str">
        <x:f>IF(A161="","",IF(OR(B161="",D161="",E161="",F161="",G161="",H161="",J161="",K161="",L161="",M161="",O161="",P161="",AND(I161="",AG161=""),AND(B161&lt;&gt;"repair",B161&lt;&gt;"bridge",C161="")),"INCOMPLETE","CHECK ONLINE"))</x:f>
      </x:c>
      <x:c r="AD161" s="67" t="str">
        <x:f>IF(A161="","",IF(AC161="INCOMPLETE","Fill required fields including RepairSkill and an answer. See Instructions.","Copy all columns with headers to the browser validator for full schema, assets and mode checks."))</x:f>
      </x:c>
      <x:c r="AE161" s="67" t="str">
        <x:f t="shared" si="11">IF(A161="","","https://masteryquests.org/tools/question-bank-validator/")</x:f>
      </x:c>
      <x:c r="AF161" s="60"/>
      <x:c r="AH161" s="60"/>
      <x:c r="AI161" s="60"/>
    </x:row>
    <x:row r="162" ht="45" customHeight="1">
      <x:c r="A162" s="15"/>
      <x:c r="B162" s="15"/>
      <x:c r="C162" s="15"/>
      <x:c r="D162" s="12"/>
      <x:c r="E162" s="12"/>
      <x:c r="F162" s="12"/>
      <x:c r="G162" s="12"/>
      <x:c r="H162" s="12"/>
      <x:c r="I162" s="15"/>
      <x:c r="J162" s="12"/>
      <x:c r="K162" s="12"/>
      <x:c r="L162" s="12"/>
      <x:c r="M162" s="12"/>
      <x:c r="N162" s="12"/>
      <x:c r="O162" s="13"/>
      <x:c r="P162" s="13"/>
      <x:c r="Q162" s="13"/>
      <x:c r="R162" s="13"/>
      <x:c r="S162" s="13"/>
      <x:c r="T162" s="13"/>
      <x:c r="U162" s="14"/>
      <x:c r="V162" s="14"/>
      <x:c r="W162" s="16"/>
      <x:c r="X162" s="16"/>
      <x:c r="Y162" s="14"/>
      <x:c r="Z162" s="66" t="str">
        <x:f t="shared" si="8">IF(A162="","",IF(MAX(LEN(E162),LEN(F162),LEN(G162),LEN(H162))&gt;2*MIN(LEN(E162),LEN(F162),LEN(G162),LEN(H162)),"Review answer lengths",""))</x:f>
      </x:c>
      <x:c r="AA162" s="66" t="str">
        <x:f t="shared" si="9">IF(A162="","",IF(COUNTIF($A$2:$A$301,A162)&gt;1,"Duplicate ID",IF(COUNTIF($D$2:$D$301,D162)&gt;1,"Review repeated text","")))</x:f>
      </x:c>
      <x:c r="AB162" s="66" t="str">
        <x:f t="shared" si="10">IF(A162="","","Unique string or number; no numeric range required")</x:f>
      </x:c>
      <x:c r="AC162" s="66" t="str">
        <x:f>IF(A162="","",IF(OR(B162="",D162="",E162="",F162="",G162="",H162="",J162="",K162="",L162="",M162="",O162="",P162="",AND(I162="",AG162=""),AND(B162&lt;&gt;"repair",B162&lt;&gt;"bridge",C162="")),"INCOMPLETE","CHECK ONLINE"))</x:f>
      </x:c>
      <x:c r="AD162" s="67" t="str">
        <x:f>IF(A162="","",IF(AC162="INCOMPLETE","Fill required fields including RepairSkill and an answer. See Instructions.","Copy all columns with headers to the browser validator for full schema, assets and mode checks."))</x:f>
      </x:c>
      <x:c r="AE162" s="67" t="str">
        <x:f t="shared" si="11">IF(A162="","","https://masteryquests.org/tools/question-bank-validator/")</x:f>
      </x:c>
      <x:c r="AF162" s="60"/>
      <x:c r="AH162" s="60"/>
      <x:c r="AI162" s="60"/>
    </x:row>
    <x:row r="163" ht="45" customHeight="1">
      <x:c r="A163" s="15"/>
      <x:c r="B163" s="15"/>
      <x:c r="C163" s="15"/>
      <x:c r="D163" s="12"/>
      <x:c r="E163" s="12"/>
      <x:c r="F163" s="12"/>
      <x:c r="G163" s="12"/>
      <x:c r="H163" s="12"/>
      <x:c r="I163" s="15"/>
      <x:c r="J163" s="12"/>
      <x:c r="K163" s="12"/>
      <x:c r="L163" s="12"/>
      <x:c r="M163" s="12"/>
      <x:c r="N163" s="12"/>
      <x:c r="O163" s="13"/>
      <x:c r="P163" s="13"/>
      <x:c r="Q163" s="13"/>
      <x:c r="R163" s="13"/>
      <x:c r="S163" s="13"/>
      <x:c r="T163" s="13"/>
      <x:c r="U163" s="14"/>
      <x:c r="V163" s="14"/>
      <x:c r="W163" s="16"/>
      <x:c r="X163" s="16"/>
      <x:c r="Y163" s="14"/>
      <x:c r="Z163" s="66" t="str">
        <x:f t="shared" si="8">IF(A163="","",IF(MAX(LEN(E163),LEN(F163),LEN(G163),LEN(H163))&gt;2*MIN(LEN(E163),LEN(F163),LEN(G163),LEN(H163)),"Review answer lengths",""))</x:f>
      </x:c>
      <x:c r="AA163" s="66" t="str">
        <x:f t="shared" si="9">IF(A163="","",IF(COUNTIF($A$2:$A$301,A163)&gt;1,"Duplicate ID",IF(COUNTIF($D$2:$D$301,D163)&gt;1,"Review repeated text","")))</x:f>
      </x:c>
      <x:c r="AB163" s="66" t="str">
        <x:f t="shared" si="10">IF(A163="","","Unique string or number; no numeric range required")</x:f>
      </x:c>
      <x:c r="AC163" s="66" t="str">
        <x:f>IF(A163="","",IF(OR(B163="",D163="",E163="",F163="",G163="",H163="",J163="",K163="",L163="",M163="",O163="",P163="",AND(I163="",AG163=""),AND(B163&lt;&gt;"repair",B163&lt;&gt;"bridge",C163="")),"INCOMPLETE","CHECK ONLINE"))</x:f>
      </x:c>
      <x:c r="AD163" s="67" t="str">
        <x:f>IF(A163="","",IF(AC163="INCOMPLETE","Fill required fields including RepairSkill and an answer. See Instructions.","Copy all columns with headers to the browser validator for full schema, assets and mode checks."))</x:f>
      </x:c>
      <x:c r="AE163" s="67" t="str">
        <x:f t="shared" si="11">IF(A163="","","https://masteryquests.org/tools/question-bank-validator/")</x:f>
      </x:c>
      <x:c r="AF163" s="60"/>
      <x:c r="AH163" s="60"/>
      <x:c r="AI163" s="60"/>
    </x:row>
    <x:row r="164" ht="45" customHeight="1">
      <x:c r="A164" s="15"/>
      <x:c r="B164" s="15"/>
      <x:c r="C164" s="15"/>
      <x:c r="D164" s="12"/>
      <x:c r="E164" s="12"/>
      <x:c r="F164" s="12"/>
      <x:c r="G164" s="12"/>
      <x:c r="H164" s="12"/>
      <x:c r="I164" s="15"/>
      <x:c r="J164" s="12"/>
      <x:c r="K164" s="12"/>
      <x:c r="L164" s="12"/>
      <x:c r="M164" s="12"/>
      <x:c r="N164" s="12"/>
      <x:c r="O164" s="13"/>
      <x:c r="P164" s="13"/>
      <x:c r="Q164" s="13"/>
      <x:c r="R164" s="13"/>
      <x:c r="S164" s="13"/>
      <x:c r="T164" s="13"/>
      <x:c r="U164" s="14"/>
      <x:c r="V164" s="14"/>
      <x:c r="W164" s="16"/>
      <x:c r="X164" s="16"/>
      <x:c r="Y164" s="14"/>
      <x:c r="Z164" s="66" t="str">
        <x:f t="shared" si="8">IF(A164="","",IF(MAX(LEN(E164),LEN(F164),LEN(G164),LEN(H164))&gt;2*MIN(LEN(E164),LEN(F164),LEN(G164),LEN(H164)),"Review answer lengths",""))</x:f>
      </x:c>
      <x:c r="AA164" s="66" t="str">
        <x:f t="shared" si="9">IF(A164="","",IF(COUNTIF($A$2:$A$301,A164)&gt;1,"Duplicate ID",IF(COUNTIF($D$2:$D$301,D164)&gt;1,"Review repeated text","")))</x:f>
      </x:c>
      <x:c r="AB164" s="66" t="str">
        <x:f t="shared" si="10">IF(A164="","","Unique string or number; no numeric range required")</x:f>
      </x:c>
      <x:c r="AC164" s="66" t="str">
        <x:f>IF(A164="","",IF(OR(B164="",D164="",E164="",F164="",G164="",H164="",J164="",K164="",L164="",M164="",O164="",P164="",AND(I164="",AG164=""),AND(B164&lt;&gt;"repair",B164&lt;&gt;"bridge",C164="")),"INCOMPLETE","CHECK ONLINE"))</x:f>
      </x:c>
      <x:c r="AD164" s="67" t="str">
        <x:f>IF(A164="","",IF(AC164="INCOMPLETE","Fill required fields including RepairSkill and an answer. See Instructions.","Copy all columns with headers to the browser validator for full schema, assets and mode checks."))</x:f>
      </x:c>
      <x:c r="AE164" s="67" t="str">
        <x:f t="shared" si="11">IF(A164="","","https://masteryquests.org/tools/question-bank-validator/")</x:f>
      </x:c>
      <x:c r="AF164" s="60"/>
      <x:c r="AH164" s="60"/>
      <x:c r="AI164" s="60"/>
    </x:row>
    <x:row r="165" ht="45" customHeight="1">
      <x:c r="A165" s="15"/>
      <x:c r="B165" s="15"/>
      <x:c r="C165" s="15"/>
      <x:c r="D165" s="12"/>
      <x:c r="E165" s="12"/>
      <x:c r="F165" s="12"/>
      <x:c r="G165" s="12"/>
      <x:c r="H165" s="12"/>
      <x:c r="I165" s="15"/>
      <x:c r="J165" s="12"/>
      <x:c r="K165" s="12"/>
      <x:c r="L165" s="12"/>
      <x:c r="M165" s="12"/>
      <x:c r="N165" s="12"/>
      <x:c r="O165" s="13"/>
      <x:c r="P165" s="13"/>
      <x:c r="Q165" s="13"/>
      <x:c r="R165" s="13"/>
      <x:c r="S165" s="13"/>
      <x:c r="T165" s="13"/>
      <x:c r="U165" s="14"/>
      <x:c r="V165" s="14"/>
      <x:c r="W165" s="16"/>
      <x:c r="X165" s="16"/>
      <x:c r="Y165" s="14"/>
      <x:c r="Z165" s="66" t="str">
        <x:f t="shared" si="8">IF(A165="","",IF(MAX(LEN(E165),LEN(F165),LEN(G165),LEN(H165))&gt;2*MIN(LEN(E165),LEN(F165),LEN(G165),LEN(H165)),"Review answer lengths",""))</x:f>
      </x:c>
      <x:c r="AA165" s="66" t="str">
        <x:f t="shared" si="9">IF(A165="","",IF(COUNTIF($A$2:$A$301,A165)&gt;1,"Duplicate ID",IF(COUNTIF($D$2:$D$301,D165)&gt;1,"Review repeated text","")))</x:f>
      </x:c>
      <x:c r="AB165" s="66" t="str">
        <x:f t="shared" si="10">IF(A165="","","Unique string or number; no numeric range required")</x:f>
      </x:c>
      <x:c r="AC165" s="66" t="str">
        <x:f>IF(A165="","",IF(OR(B165="",D165="",E165="",F165="",G165="",H165="",J165="",K165="",L165="",M165="",O165="",P165="",AND(I165="",AG165=""),AND(B165&lt;&gt;"repair",B165&lt;&gt;"bridge",C165="")),"INCOMPLETE","CHECK ONLINE"))</x:f>
      </x:c>
      <x:c r="AD165" s="67" t="str">
        <x:f>IF(A165="","",IF(AC165="INCOMPLETE","Fill required fields including RepairSkill and an answer. See Instructions.","Copy all columns with headers to the browser validator for full schema, assets and mode checks."))</x:f>
      </x:c>
      <x:c r="AE165" s="67" t="str">
        <x:f t="shared" si="11">IF(A165="","","https://masteryquests.org/tools/question-bank-validator/")</x:f>
      </x:c>
      <x:c r="AF165" s="60"/>
      <x:c r="AH165" s="60"/>
      <x:c r="AI165" s="60"/>
    </x:row>
    <x:row r="166" ht="45" customHeight="1">
      <x:c r="A166" s="15"/>
      <x:c r="B166" s="15"/>
      <x:c r="C166" s="15"/>
      <x:c r="D166" s="12"/>
      <x:c r="E166" s="12"/>
      <x:c r="F166" s="12"/>
      <x:c r="G166" s="12"/>
      <x:c r="H166" s="12"/>
      <x:c r="I166" s="15"/>
      <x:c r="J166" s="12"/>
      <x:c r="K166" s="12"/>
      <x:c r="L166" s="12"/>
      <x:c r="M166" s="12"/>
      <x:c r="N166" s="12"/>
      <x:c r="O166" s="13"/>
      <x:c r="P166" s="13"/>
      <x:c r="Q166" s="13"/>
      <x:c r="R166" s="13"/>
      <x:c r="S166" s="13"/>
      <x:c r="T166" s="13"/>
      <x:c r="U166" s="14"/>
      <x:c r="V166" s="14"/>
      <x:c r="W166" s="16"/>
      <x:c r="X166" s="16"/>
      <x:c r="Y166" s="14"/>
      <x:c r="Z166" s="66" t="str">
        <x:f t="shared" si="8">IF(A166="","",IF(MAX(LEN(E166),LEN(F166),LEN(G166),LEN(H166))&gt;2*MIN(LEN(E166),LEN(F166),LEN(G166),LEN(H166)),"Review answer lengths",""))</x:f>
      </x:c>
      <x:c r="AA166" s="66" t="str">
        <x:f t="shared" si="9">IF(A166="","",IF(COUNTIF($A$2:$A$301,A166)&gt;1,"Duplicate ID",IF(COUNTIF($D$2:$D$301,D166)&gt;1,"Review repeated text","")))</x:f>
      </x:c>
      <x:c r="AB166" s="66" t="str">
        <x:f t="shared" si="10">IF(A166="","","Unique string or number; no numeric range required")</x:f>
      </x:c>
      <x:c r="AC166" s="66" t="str">
        <x:f>IF(A166="","",IF(OR(B166="",D166="",E166="",F166="",G166="",H166="",J166="",K166="",L166="",M166="",O166="",P166="",AND(I166="",AG166=""),AND(B166&lt;&gt;"repair",B166&lt;&gt;"bridge",C166="")),"INCOMPLETE","CHECK ONLINE"))</x:f>
      </x:c>
      <x:c r="AD166" s="67" t="str">
        <x:f>IF(A166="","",IF(AC166="INCOMPLETE","Fill required fields including RepairSkill and an answer. See Instructions.","Copy all columns with headers to the browser validator for full schema, assets and mode checks."))</x:f>
      </x:c>
      <x:c r="AE166" s="67" t="str">
        <x:f t="shared" si="11">IF(A166="","","https://masteryquests.org/tools/question-bank-validator/")</x:f>
      </x:c>
      <x:c r="AF166" s="60"/>
      <x:c r="AH166" s="60"/>
      <x:c r="AI166" s="60"/>
    </x:row>
    <x:row r="167" ht="45" customHeight="1">
      <x:c r="A167" s="15"/>
      <x:c r="B167" s="15"/>
      <x:c r="C167" s="15"/>
      <x:c r="D167" s="12"/>
      <x:c r="E167" s="12"/>
      <x:c r="F167" s="12"/>
      <x:c r="G167" s="12"/>
      <x:c r="H167" s="12"/>
      <x:c r="I167" s="15"/>
      <x:c r="J167" s="12"/>
      <x:c r="K167" s="12"/>
      <x:c r="L167" s="12"/>
      <x:c r="M167" s="12"/>
      <x:c r="N167" s="12"/>
      <x:c r="O167" s="13"/>
      <x:c r="P167" s="13"/>
      <x:c r="Q167" s="13"/>
      <x:c r="R167" s="13"/>
      <x:c r="S167" s="13"/>
      <x:c r="T167" s="13"/>
      <x:c r="U167" s="14"/>
      <x:c r="V167" s="14"/>
      <x:c r="W167" s="16"/>
      <x:c r="X167" s="16"/>
      <x:c r="Y167" s="14"/>
      <x:c r="Z167" s="66" t="str">
        <x:f t="shared" si="8">IF(A167="","",IF(MAX(LEN(E167),LEN(F167),LEN(G167),LEN(H167))&gt;2*MIN(LEN(E167),LEN(F167),LEN(G167),LEN(H167)),"Review answer lengths",""))</x:f>
      </x:c>
      <x:c r="AA167" s="66" t="str">
        <x:f t="shared" si="9">IF(A167="","",IF(COUNTIF($A$2:$A$301,A167)&gt;1,"Duplicate ID",IF(COUNTIF($D$2:$D$301,D167)&gt;1,"Review repeated text","")))</x:f>
      </x:c>
      <x:c r="AB167" s="66" t="str">
        <x:f t="shared" si="10">IF(A167="","","Unique string or number; no numeric range required")</x:f>
      </x:c>
      <x:c r="AC167" s="66" t="str">
        <x:f>IF(A167="","",IF(OR(B167="",D167="",E167="",F167="",G167="",H167="",J167="",K167="",L167="",M167="",O167="",P167="",AND(I167="",AG167=""),AND(B167&lt;&gt;"repair",B167&lt;&gt;"bridge",C167="")),"INCOMPLETE","CHECK ONLINE"))</x:f>
      </x:c>
      <x:c r="AD167" s="67" t="str">
        <x:f>IF(A167="","",IF(AC167="INCOMPLETE","Fill required fields including RepairSkill and an answer. See Instructions.","Copy all columns with headers to the browser validator for full schema, assets and mode checks."))</x:f>
      </x:c>
      <x:c r="AE167" s="67" t="str">
        <x:f t="shared" si="11">IF(A167="","","https://masteryquests.org/tools/question-bank-validator/")</x:f>
      </x:c>
      <x:c r="AF167" s="60"/>
      <x:c r="AH167" s="60"/>
      <x:c r="AI167" s="60"/>
    </x:row>
    <x:row r="168" ht="45" customHeight="1">
      <x:c r="A168" s="15"/>
      <x:c r="B168" s="15"/>
      <x:c r="C168" s="15"/>
      <x:c r="D168" s="12"/>
      <x:c r="E168" s="12"/>
      <x:c r="F168" s="12"/>
      <x:c r="G168" s="12"/>
      <x:c r="H168" s="12"/>
      <x:c r="I168" s="15"/>
      <x:c r="J168" s="12"/>
      <x:c r="K168" s="12"/>
      <x:c r="L168" s="12"/>
      <x:c r="M168" s="12"/>
      <x:c r="N168" s="12"/>
      <x:c r="O168" s="13"/>
      <x:c r="P168" s="13"/>
      <x:c r="Q168" s="13"/>
      <x:c r="R168" s="13"/>
      <x:c r="S168" s="13"/>
      <x:c r="T168" s="13"/>
      <x:c r="U168" s="14"/>
      <x:c r="V168" s="14"/>
      <x:c r="W168" s="16"/>
      <x:c r="X168" s="16"/>
      <x:c r="Y168" s="14"/>
      <x:c r="Z168" s="66" t="str">
        <x:f t="shared" si="8">IF(A168="","",IF(MAX(LEN(E168),LEN(F168),LEN(G168),LEN(H168))&gt;2*MIN(LEN(E168),LEN(F168),LEN(G168),LEN(H168)),"Review answer lengths",""))</x:f>
      </x:c>
      <x:c r="AA168" s="66" t="str">
        <x:f t="shared" si="9">IF(A168="","",IF(COUNTIF($A$2:$A$301,A168)&gt;1,"Duplicate ID",IF(COUNTIF($D$2:$D$301,D168)&gt;1,"Review repeated text","")))</x:f>
      </x:c>
      <x:c r="AB168" s="66" t="str">
        <x:f t="shared" si="10">IF(A168="","","Unique string or number; no numeric range required")</x:f>
      </x:c>
      <x:c r="AC168" s="66" t="str">
        <x:f>IF(A168="","",IF(OR(B168="",D168="",E168="",F168="",G168="",H168="",J168="",K168="",L168="",M168="",O168="",P168="",AND(I168="",AG168=""),AND(B168&lt;&gt;"repair",B168&lt;&gt;"bridge",C168="")),"INCOMPLETE","CHECK ONLINE"))</x:f>
      </x:c>
      <x:c r="AD168" s="67" t="str">
        <x:f>IF(A168="","",IF(AC168="INCOMPLETE","Fill required fields including RepairSkill and an answer. See Instructions.","Copy all columns with headers to the browser validator for full schema, assets and mode checks."))</x:f>
      </x:c>
      <x:c r="AE168" s="67" t="str">
        <x:f t="shared" si="11">IF(A168="","","https://masteryquests.org/tools/question-bank-validator/")</x:f>
      </x:c>
      <x:c r="AF168" s="60"/>
      <x:c r="AH168" s="60"/>
      <x:c r="AI168" s="60"/>
    </x:row>
    <x:row r="169" ht="45" customHeight="1">
      <x:c r="A169" s="15"/>
      <x:c r="B169" s="15"/>
      <x:c r="C169" s="15"/>
      <x:c r="D169" s="12"/>
      <x:c r="E169" s="12"/>
      <x:c r="F169" s="12"/>
      <x:c r="G169" s="12"/>
      <x:c r="H169" s="12"/>
      <x:c r="I169" s="15"/>
      <x:c r="J169" s="12"/>
      <x:c r="K169" s="12"/>
      <x:c r="L169" s="12"/>
      <x:c r="M169" s="12"/>
      <x:c r="N169" s="12"/>
      <x:c r="O169" s="13"/>
      <x:c r="P169" s="13"/>
      <x:c r="Q169" s="13"/>
      <x:c r="R169" s="13"/>
      <x:c r="S169" s="13"/>
      <x:c r="T169" s="13"/>
      <x:c r="U169" s="14"/>
      <x:c r="V169" s="14"/>
      <x:c r="W169" s="16"/>
      <x:c r="X169" s="16"/>
      <x:c r="Y169" s="14"/>
      <x:c r="Z169" s="66" t="str">
        <x:f t="shared" si="8">IF(A169="","",IF(MAX(LEN(E169),LEN(F169),LEN(G169),LEN(H169))&gt;2*MIN(LEN(E169),LEN(F169),LEN(G169),LEN(H169)),"Review answer lengths",""))</x:f>
      </x:c>
      <x:c r="AA169" s="66" t="str">
        <x:f t="shared" si="9">IF(A169="","",IF(COUNTIF($A$2:$A$301,A169)&gt;1,"Duplicate ID",IF(COUNTIF($D$2:$D$301,D169)&gt;1,"Review repeated text","")))</x:f>
      </x:c>
      <x:c r="AB169" s="66" t="str">
        <x:f t="shared" si="10">IF(A169="","","Unique string or number; no numeric range required")</x:f>
      </x:c>
      <x:c r="AC169" s="66" t="str">
        <x:f>IF(A169="","",IF(OR(B169="",D169="",E169="",F169="",G169="",H169="",J169="",K169="",L169="",M169="",O169="",P169="",AND(I169="",AG169=""),AND(B169&lt;&gt;"repair",B169&lt;&gt;"bridge",C169="")),"INCOMPLETE","CHECK ONLINE"))</x:f>
      </x:c>
      <x:c r="AD169" s="67" t="str">
        <x:f>IF(A169="","",IF(AC169="INCOMPLETE","Fill required fields including RepairSkill and an answer. See Instructions.","Copy all columns with headers to the browser validator for full schema, assets and mode checks."))</x:f>
      </x:c>
      <x:c r="AE169" s="67" t="str">
        <x:f t="shared" si="11">IF(A169="","","https://masteryquests.org/tools/question-bank-validator/")</x:f>
      </x:c>
      <x:c r="AF169" s="60"/>
      <x:c r="AH169" s="60"/>
      <x:c r="AI169" s="60"/>
    </x:row>
    <x:row r="170" ht="45" customHeight="1">
      <x:c r="A170" s="15"/>
      <x:c r="B170" s="15"/>
      <x:c r="C170" s="15"/>
      <x:c r="D170" s="12"/>
      <x:c r="E170" s="12"/>
      <x:c r="F170" s="12"/>
      <x:c r="G170" s="12"/>
      <x:c r="H170" s="12"/>
      <x:c r="I170" s="15"/>
      <x:c r="J170" s="12"/>
      <x:c r="K170" s="12"/>
      <x:c r="L170" s="12"/>
      <x:c r="M170" s="12"/>
      <x:c r="N170" s="12"/>
      <x:c r="O170" s="13"/>
      <x:c r="P170" s="13"/>
      <x:c r="Q170" s="13"/>
      <x:c r="R170" s="13"/>
      <x:c r="S170" s="13"/>
      <x:c r="T170" s="13"/>
      <x:c r="U170" s="14"/>
      <x:c r="V170" s="14"/>
      <x:c r="W170" s="16"/>
      <x:c r="X170" s="16"/>
      <x:c r="Y170" s="14"/>
      <x:c r="Z170" s="66" t="str">
        <x:f t="shared" si="8">IF(A170="","",IF(MAX(LEN(E170),LEN(F170),LEN(G170),LEN(H170))&gt;2*MIN(LEN(E170),LEN(F170),LEN(G170),LEN(H170)),"Review answer lengths",""))</x:f>
      </x:c>
      <x:c r="AA170" s="66" t="str">
        <x:f t="shared" si="9">IF(A170="","",IF(COUNTIF($A$2:$A$301,A170)&gt;1,"Duplicate ID",IF(COUNTIF($D$2:$D$301,D170)&gt;1,"Review repeated text","")))</x:f>
      </x:c>
      <x:c r="AB170" s="66" t="str">
        <x:f t="shared" si="10">IF(A170="","","Unique string or number; no numeric range required")</x:f>
      </x:c>
      <x:c r="AC170" s="66" t="str">
        <x:f>IF(A170="","",IF(OR(B170="",D170="",E170="",F170="",G170="",H170="",J170="",K170="",L170="",M170="",O170="",P170="",AND(I170="",AG170=""),AND(B170&lt;&gt;"repair",B170&lt;&gt;"bridge",C170="")),"INCOMPLETE","CHECK ONLINE"))</x:f>
      </x:c>
      <x:c r="AD170" s="67" t="str">
        <x:f>IF(A170="","",IF(AC170="INCOMPLETE","Fill required fields including RepairSkill and an answer. See Instructions.","Copy all columns with headers to the browser validator for full schema, assets and mode checks."))</x:f>
      </x:c>
      <x:c r="AE170" s="67" t="str">
        <x:f t="shared" si="11">IF(A170="","","https://masteryquests.org/tools/question-bank-validator/")</x:f>
      </x:c>
      <x:c r="AF170" s="60"/>
      <x:c r="AH170" s="60"/>
      <x:c r="AI170" s="60"/>
    </x:row>
    <x:row r="171" ht="45" customHeight="1">
      <x:c r="A171" s="15"/>
      <x:c r="B171" s="15"/>
      <x:c r="C171" s="15"/>
      <x:c r="D171" s="12"/>
      <x:c r="E171" s="12"/>
      <x:c r="F171" s="12"/>
      <x:c r="G171" s="12"/>
      <x:c r="H171" s="12"/>
      <x:c r="I171" s="15"/>
      <x:c r="J171" s="12"/>
      <x:c r="K171" s="12"/>
      <x:c r="L171" s="12"/>
      <x:c r="M171" s="12"/>
      <x:c r="N171" s="12"/>
      <x:c r="O171" s="13"/>
      <x:c r="P171" s="13"/>
      <x:c r="Q171" s="13"/>
      <x:c r="R171" s="13"/>
      <x:c r="S171" s="13"/>
      <x:c r="T171" s="13"/>
      <x:c r="U171" s="14"/>
      <x:c r="V171" s="14"/>
      <x:c r="W171" s="16"/>
      <x:c r="X171" s="16"/>
      <x:c r="Y171" s="14"/>
      <x:c r="Z171" s="66" t="str">
        <x:f t="shared" si="8">IF(A171="","",IF(MAX(LEN(E171),LEN(F171),LEN(G171),LEN(H171))&gt;2*MIN(LEN(E171),LEN(F171),LEN(G171),LEN(H171)),"Review answer lengths",""))</x:f>
      </x:c>
      <x:c r="AA171" s="66" t="str">
        <x:f t="shared" si="9">IF(A171="","",IF(COUNTIF($A$2:$A$301,A171)&gt;1,"Duplicate ID",IF(COUNTIF($D$2:$D$301,D171)&gt;1,"Review repeated text","")))</x:f>
      </x:c>
      <x:c r="AB171" s="66" t="str">
        <x:f t="shared" si="10">IF(A171="","","Unique string or number; no numeric range required")</x:f>
      </x:c>
      <x:c r="AC171" s="66" t="str">
        <x:f>IF(A171="","",IF(OR(B171="",D171="",E171="",F171="",G171="",H171="",J171="",K171="",L171="",M171="",O171="",P171="",AND(I171="",AG171=""),AND(B171&lt;&gt;"repair",B171&lt;&gt;"bridge",C171="")),"INCOMPLETE","CHECK ONLINE"))</x:f>
      </x:c>
      <x:c r="AD171" s="67" t="str">
        <x:f>IF(A171="","",IF(AC171="INCOMPLETE","Fill required fields including RepairSkill and an answer. See Instructions.","Copy all columns with headers to the browser validator for full schema, assets and mode checks."))</x:f>
      </x:c>
      <x:c r="AE171" s="67" t="str">
        <x:f t="shared" si="11">IF(A171="","","https://masteryquests.org/tools/question-bank-validator/")</x:f>
      </x:c>
      <x:c r="AF171" s="60"/>
      <x:c r="AH171" s="60"/>
      <x:c r="AI171" s="60"/>
    </x:row>
    <x:row r="172" ht="45" customHeight="1">
      <x:c r="A172" s="15"/>
      <x:c r="B172" s="15"/>
      <x:c r="C172" s="15"/>
      <x:c r="D172" s="12"/>
      <x:c r="E172" s="12"/>
      <x:c r="F172" s="12"/>
      <x:c r="G172" s="12"/>
      <x:c r="H172" s="12"/>
      <x:c r="I172" s="15"/>
      <x:c r="J172" s="12"/>
      <x:c r="K172" s="12"/>
      <x:c r="L172" s="12"/>
      <x:c r="M172" s="12"/>
      <x:c r="N172" s="12"/>
      <x:c r="O172" s="13"/>
      <x:c r="P172" s="13"/>
      <x:c r="Q172" s="13"/>
      <x:c r="R172" s="13"/>
      <x:c r="S172" s="13"/>
      <x:c r="T172" s="13"/>
      <x:c r="U172" s="14"/>
      <x:c r="V172" s="14"/>
      <x:c r="W172" s="16"/>
      <x:c r="X172" s="16"/>
      <x:c r="Y172" s="14"/>
      <x:c r="Z172" s="66" t="str">
        <x:f t="shared" si="8">IF(A172="","",IF(MAX(LEN(E172),LEN(F172),LEN(G172),LEN(H172))&gt;2*MIN(LEN(E172),LEN(F172),LEN(G172),LEN(H172)),"Review answer lengths",""))</x:f>
      </x:c>
      <x:c r="AA172" s="66" t="str">
        <x:f t="shared" si="9">IF(A172="","",IF(COUNTIF($A$2:$A$301,A172)&gt;1,"Duplicate ID",IF(COUNTIF($D$2:$D$301,D172)&gt;1,"Review repeated text","")))</x:f>
      </x:c>
      <x:c r="AB172" s="66" t="str">
        <x:f t="shared" si="10">IF(A172="","","Unique string or number; no numeric range required")</x:f>
      </x:c>
      <x:c r="AC172" s="66" t="str">
        <x:f>IF(A172="","",IF(OR(B172="",D172="",E172="",F172="",G172="",H172="",J172="",K172="",L172="",M172="",O172="",P172="",AND(I172="",AG172=""),AND(B172&lt;&gt;"repair",B172&lt;&gt;"bridge",C172="")),"INCOMPLETE","CHECK ONLINE"))</x:f>
      </x:c>
      <x:c r="AD172" s="67" t="str">
        <x:f>IF(A172="","",IF(AC172="INCOMPLETE","Fill required fields including RepairSkill and an answer. See Instructions.","Copy all columns with headers to the browser validator for full schema, assets and mode checks."))</x:f>
      </x:c>
      <x:c r="AE172" s="67" t="str">
        <x:f t="shared" si="11">IF(A172="","","https://masteryquests.org/tools/question-bank-validator/")</x:f>
      </x:c>
      <x:c r="AF172" s="60"/>
      <x:c r="AH172" s="60"/>
      <x:c r="AI172" s="60"/>
    </x:row>
    <x:row r="173" ht="45" customHeight="1">
      <x:c r="A173" s="15"/>
      <x:c r="B173" s="15"/>
      <x:c r="C173" s="15"/>
      <x:c r="D173" s="12"/>
      <x:c r="E173" s="12"/>
      <x:c r="F173" s="12"/>
      <x:c r="G173" s="12"/>
      <x:c r="H173" s="12"/>
      <x:c r="I173" s="15"/>
      <x:c r="J173" s="12"/>
      <x:c r="K173" s="12"/>
      <x:c r="L173" s="12"/>
      <x:c r="M173" s="12"/>
      <x:c r="N173" s="12"/>
      <x:c r="O173" s="13"/>
      <x:c r="P173" s="13"/>
      <x:c r="Q173" s="13"/>
      <x:c r="R173" s="13"/>
      <x:c r="S173" s="13"/>
      <x:c r="T173" s="13"/>
      <x:c r="U173" s="14"/>
      <x:c r="V173" s="14"/>
      <x:c r="W173" s="16"/>
      <x:c r="X173" s="16"/>
      <x:c r="Y173" s="14"/>
      <x:c r="Z173" s="66" t="str">
        <x:f t="shared" si="8">IF(A173="","",IF(MAX(LEN(E173),LEN(F173),LEN(G173),LEN(H173))&gt;2*MIN(LEN(E173),LEN(F173),LEN(G173),LEN(H173)),"Review answer lengths",""))</x:f>
      </x:c>
      <x:c r="AA173" s="66" t="str">
        <x:f t="shared" si="9">IF(A173="","",IF(COUNTIF($A$2:$A$301,A173)&gt;1,"Duplicate ID",IF(COUNTIF($D$2:$D$301,D173)&gt;1,"Review repeated text","")))</x:f>
      </x:c>
      <x:c r="AB173" s="66" t="str">
        <x:f t="shared" si="10">IF(A173="","","Unique string or number; no numeric range required")</x:f>
      </x:c>
      <x:c r="AC173" s="66" t="str">
        <x:f>IF(A173="","",IF(OR(B173="",D173="",E173="",F173="",G173="",H173="",J173="",K173="",L173="",M173="",O173="",P173="",AND(I173="",AG173=""),AND(B173&lt;&gt;"repair",B173&lt;&gt;"bridge",C173="")),"INCOMPLETE","CHECK ONLINE"))</x:f>
      </x:c>
      <x:c r="AD173" s="67" t="str">
        <x:f>IF(A173="","",IF(AC173="INCOMPLETE","Fill required fields including RepairSkill and an answer. See Instructions.","Copy all columns with headers to the browser validator for full schema, assets and mode checks."))</x:f>
      </x:c>
      <x:c r="AE173" s="67" t="str">
        <x:f t="shared" si="11">IF(A173="","","https://masteryquests.org/tools/question-bank-validator/")</x:f>
      </x:c>
      <x:c r="AF173" s="60"/>
      <x:c r="AH173" s="60"/>
      <x:c r="AI173" s="60"/>
    </x:row>
    <x:row r="174" ht="45" customHeight="1">
      <x:c r="A174" s="15"/>
      <x:c r="B174" s="15"/>
      <x:c r="C174" s="15"/>
      <x:c r="D174" s="12"/>
      <x:c r="E174" s="12"/>
      <x:c r="F174" s="12"/>
      <x:c r="G174" s="12"/>
      <x:c r="H174" s="12"/>
      <x:c r="I174" s="15"/>
      <x:c r="J174" s="12"/>
      <x:c r="K174" s="12"/>
      <x:c r="L174" s="12"/>
      <x:c r="M174" s="12"/>
      <x:c r="N174" s="12"/>
      <x:c r="O174" s="13"/>
      <x:c r="P174" s="13"/>
      <x:c r="Q174" s="13"/>
      <x:c r="R174" s="13"/>
      <x:c r="S174" s="13"/>
      <x:c r="T174" s="13"/>
      <x:c r="U174" s="14"/>
      <x:c r="V174" s="14"/>
      <x:c r="W174" s="16"/>
      <x:c r="X174" s="16"/>
      <x:c r="Y174" s="14"/>
      <x:c r="Z174" s="66" t="str">
        <x:f t="shared" si="8">IF(A174="","",IF(MAX(LEN(E174),LEN(F174),LEN(G174),LEN(H174))&gt;2*MIN(LEN(E174),LEN(F174),LEN(G174),LEN(H174)),"Review answer lengths",""))</x:f>
      </x:c>
      <x:c r="AA174" s="66" t="str">
        <x:f t="shared" si="9">IF(A174="","",IF(COUNTIF($A$2:$A$301,A174)&gt;1,"Duplicate ID",IF(COUNTIF($D$2:$D$301,D174)&gt;1,"Review repeated text","")))</x:f>
      </x:c>
      <x:c r="AB174" s="66" t="str">
        <x:f t="shared" si="10">IF(A174="","","Unique string or number; no numeric range required")</x:f>
      </x:c>
      <x:c r="AC174" s="66" t="str">
        <x:f>IF(A174="","",IF(OR(B174="",D174="",E174="",F174="",G174="",H174="",J174="",K174="",L174="",M174="",O174="",P174="",AND(I174="",AG174=""),AND(B174&lt;&gt;"repair",B174&lt;&gt;"bridge",C174="")),"INCOMPLETE","CHECK ONLINE"))</x:f>
      </x:c>
      <x:c r="AD174" s="67" t="str">
        <x:f>IF(A174="","",IF(AC174="INCOMPLETE","Fill required fields including RepairSkill and an answer. See Instructions.","Copy all columns with headers to the browser validator for full schema, assets and mode checks."))</x:f>
      </x:c>
      <x:c r="AE174" s="67" t="str">
        <x:f t="shared" si="11">IF(A174="","","https://masteryquests.org/tools/question-bank-validator/")</x:f>
      </x:c>
      <x:c r="AF174" s="60"/>
      <x:c r="AH174" s="60"/>
      <x:c r="AI174" s="60"/>
    </x:row>
    <x:row r="175" ht="45" customHeight="1">
      <x:c r="A175" s="15"/>
      <x:c r="B175" s="15"/>
      <x:c r="C175" s="15"/>
      <x:c r="D175" s="12"/>
      <x:c r="E175" s="12"/>
      <x:c r="F175" s="12"/>
      <x:c r="G175" s="12"/>
      <x:c r="H175" s="12"/>
      <x:c r="I175" s="15"/>
      <x:c r="J175" s="12"/>
      <x:c r="K175" s="12"/>
      <x:c r="L175" s="12"/>
      <x:c r="M175" s="12"/>
      <x:c r="N175" s="12"/>
      <x:c r="O175" s="13"/>
      <x:c r="P175" s="13"/>
      <x:c r="Q175" s="13"/>
      <x:c r="R175" s="13"/>
      <x:c r="S175" s="13"/>
      <x:c r="T175" s="13"/>
      <x:c r="U175" s="14"/>
      <x:c r="V175" s="14"/>
      <x:c r="W175" s="16"/>
      <x:c r="X175" s="16"/>
      <x:c r="Y175" s="14"/>
      <x:c r="Z175" s="66" t="str">
        <x:f t="shared" si="8">IF(A175="","",IF(MAX(LEN(E175),LEN(F175),LEN(G175),LEN(H175))&gt;2*MIN(LEN(E175),LEN(F175),LEN(G175),LEN(H175)),"Review answer lengths",""))</x:f>
      </x:c>
      <x:c r="AA175" s="66" t="str">
        <x:f t="shared" si="9">IF(A175="","",IF(COUNTIF($A$2:$A$301,A175)&gt;1,"Duplicate ID",IF(COUNTIF($D$2:$D$301,D175)&gt;1,"Review repeated text","")))</x:f>
      </x:c>
      <x:c r="AB175" s="66" t="str">
        <x:f t="shared" si="10">IF(A175="","","Unique string or number; no numeric range required")</x:f>
      </x:c>
      <x:c r="AC175" s="66" t="str">
        <x:f>IF(A175="","",IF(OR(B175="",D175="",E175="",F175="",G175="",H175="",J175="",K175="",L175="",M175="",O175="",P175="",AND(I175="",AG175=""),AND(B175&lt;&gt;"repair",B175&lt;&gt;"bridge",C175="")),"INCOMPLETE","CHECK ONLINE"))</x:f>
      </x:c>
      <x:c r="AD175" s="67" t="str">
        <x:f>IF(A175="","",IF(AC175="INCOMPLETE","Fill required fields including RepairSkill and an answer. See Instructions.","Copy all columns with headers to the browser validator for full schema, assets and mode checks."))</x:f>
      </x:c>
      <x:c r="AE175" s="67" t="str">
        <x:f t="shared" si="11">IF(A175="","","https://masteryquests.org/tools/question-bank-validator/")</x:f>
      </x:c>
      <x:c r="AF175" s="60"/>
      <x:c r="AH175" s="60"/>
      <x:c r="AI175" s="60"/>
    </x:row>
    <x:row r="176" ht="45" customHeight="1">
      <x:c r="A176" s="15"/>
      <x:c r="B176" s="15"/>
      <x:c r="C176" s="15"/>
      <x:c r="D176" s="12"/>
      <x:c r="E176" s="12"/>
      <x:c r="F176" s="12"/>
      <x:c r="G176" s="12"/>
      <x:c r="H176" s="12"/>
      <x:c r="I176" s="15"/>
      <x:c r="J176" s="12"/>
      <x:c r="K176" s="12"/>
      <x:c r="L176" s="12"/>
      <x:c r="M176" s="12"/>
      <x:c r="N176" s="12"/>
      <x:c r="O176" s="13"/>
      <x:c r="P176" s="13"/>
      <x:c r="Q176" s="13"/>
      <x:c r="R176" s="13"/>
      <x:c r="S176" s="13"/>
      <x:c r="T176" s="13"/>
      <x:c r="U176" s="14"/>
      <x:c r="V176" s="14"/>
      <x:c r="W176" s="16"/>
      <x:c r="X176" s="16"/>
      <x:c r="Y176" s="14"/>
      <x:c r="Z176" s="66" t="str">
        <x:f t="shared" si="8">IF(A176="","",IF(MAX(LEN(E176),LEN(F176),LEN(G176),LEN(H176))&gt;2*MIN(LEN(E176),LEN(F176),LEN(G176),LEN(H176)),"Review answer lengths",""))</x:f>
      </x:c>
      <x:c r="AA176" s="66" t="str">
        <x:f t="shared" si="9">IF(A176="","",IF(COUNTIF($A$2:$A$301,A176)&gt;1,"Duplicate ID",IF(COUNTIF($D$2:$D$301,D176)&gt;1,"Review repeated text","")))</x:f>
      </x:c>
      <x:c r="AB176" s="66" t="str">
        <x:f t="shared" si="10">IF(A176="","","Unique string or number; no numeric range required")</x:f>
      </x:c>
      <x:c r="AC176" s="66" t="str">
        <x:f>IF(A176="","",IF(OR(B176="",D176="",E176="",F176="",G176="",H176="",J176="",K176="",L176="",M176="",O176="",P176="",AND(I176="",AG176=""),AND(B176&lt;&gt;"repair",B176&lt;&gt;"bridge",C176="")),"INCOMPLETE","CHECK ONLINE"))</x:f>
      </x:c>
      <x:c r="AD176" s="67" t="str">
        <x:f>IF(A176="","",IF(AC176="INCOMPLETE","Fill required fields including RepairSkill and an answer. See Instructions.","Copy all columns with headers to the browser validator for full schema, assets and mode checks."))</x:f>
      </x:c>
      <x:c r="AE176" s="67" t="str">
        <x:f t="shared" si="11">IF(A176="","","https://masteryquests.org/tools/question-bank-validator/")</x:f>
      </x:c>
      <x:c r="AF176" s="60"/>
      <x:c r="AH176" s="60"/>
      <x:c r="AI176" s="60"/>
    </x:row>
    <x:row r="177" ht="45" customHeight="1">
      <x:c r="A177" s="15"/>
      <x:c r="B177" s="15"/>
      <x:c r="C177" s="15"/>
      <x:c r="D177" s="12"/>
      <x:c r="E177" s="12"/>
      <x:c r="F177" s="12"/>
      <x:c r="G177" s="12"/>
      <x:c r="H177" s="12"/>
      <x:c r="I177" s="15"/>
      <x:c r="J177" s="12"/>
      <x:c r="K177" s="12"/>
      <x:c r="L177" s="12"/>
      <x:c r="M177" s="12"/>
      <x:c r="N177" s="12"/>
      <x:c r="O177" s="13"/>
      <x:c r="P177" s="13"/>
      <x:c r="Q177" s="13"/>
      <x:c r="R177" s="13"/>
      <x:c r="S177" s="13"/>
      <x:c r="T177" s="13"/>
      <x:c r="U177" s="14"/>
      <x:c r="V177" s="14"/>
      <x:c r="W177" s="16"/>
      <x:c r="X177" s="16"/>
      <x:c r="Y177" s="14"/>
      <x:c r="Z177" s="66" t="str">
        <x:f t="shared" si="8">IF(A177="","",IF(MAX(LEN(E177),LEN(F177),LEN(G177),LEN(H177))&gt;2*MIN(LEN(E177),LEN(F177),LEN(G177),LEN(H177)),"Review answer lengths",""))</x:f>
      </x:c>
      <x:c r="AA177" s="66" t="str">
        <x:f t="shared" si="9">IF(A177="","",IF(COUNTIF($A$2:$A$301,A177)&gt;1,"Duplicate ID",IF(COUNTIF($D$2:$D$301,D177)&gt;1,"Review repeated text","")))</x:f>
      </x:c>
      <x:c r="AB177" s="66" t="str">
        <x:f t="shared" si="10">IF(A177="","","Unique string or number; no numeric range required")</x:f>
      </x:c>
      <x:c r="AC177" s="66" t="str">
        <x:f>IF(A177="","",IF(OR(B177="",D177="",E177="",F177="",G177="",H177="",J177="",K177="",L177="",M177="",O177="",P177="",AND(I177="",AG177=""),AND(B177&lt;&gt;"repair",B177&lt;&gt;"bridge",C177="")),"INCOMPLETE","CHECK ONLINE"))</x:f>
      </x:c>
      <x:c r="AD177" s="67" t="str">
        <x:f>IF(A177="","",IF(AC177="INCOMPLETE","Fill required fields including RepairSkill and an answer. See Instructions.","Copy all columns with headers to the browser validator for full schema, assets and mode checks."))</x:f>
      </x:c>
      <x:c r="AE177" s="67" t="str">
        <x:f t="shared" si="11">IF(A177="","","https://masteryquests.org/tools/question-bank-validator/")</x:f>
      </x:c>
      <x:c r="AF177" s="60"/>
      <x:c r="AH177" s="60"/>
      <x:c r="AI177" s="60"/>
    </x:row>
    <x:row r="178" ht="45" customHeight="1">
      <x:c r="A178" s="15"/>
      <x:c r="B178" s="15"/>
      <x:c r="C178" s="15"/>
      <x:c r="D178" s="12"/>
      <x:c r="E178" s="12"/>
      <x:c r="F178" s="12"/>
      <x:c r="G178" s="12"/>
      <x:c r="H178" s="12"/>
      <x:c r="I178" s="15"/>
      <x:c r="J178" s="12"/>
      <x:c r="K178" s="12"/>
      <x:c r="L178" s="12"/>
      <x:c r="M178" s="12"/>
      <x:c r="N178" s="12"/>
      <x:c r="O178" s="13"/>
      <x:c r="P178" s="13"/>
      <x:c r="Q178" s="13"/>
      <x:c r="R178" s="13"/>
      <x:c r="S178" s="13"/>
      <x:c r="T178" s="13"/>
      <x:c r="U178" s="14"/>
      <x:c r="V178" s="14"/>
      <x:c r="W178" s="16"/>
      <x:c r="X178" s="16"/>
      <x:c r="Y178" s="14"/>
      <x:c r="Z178" s="66" t="str">
        <x:f t="shared" si="8">IF(A178="","",IF(MAX(LEN(E178),LEN(F178),LEN(G178),LEN(H178))&gt;2*MIN(LEN(E178),LEN(F178),LEN(G178),LEN(H178)),"Review answer lengths",""))</x:f>
      </x:c>
      <x:c r="AA178" s="66" t="str">
        <x:f t="shared" si="9">IF(A178="","",IF(COUNTIF($A$2:$A$301,A178)&gt;1,"Duplicate ID",IF(COUNTIF($D$2:$D$301,D178)&gt;1,"Review repeated text","")))</x:f>
      </x:c>
      <x:c r="AB178" s="66" t="str">
        <x:f t="shared" si="10">IF(A178="","","Unique string or number; no numeric range required")</x:f>
      </x:c>
      <x:c r="AC178" s="66" t="str">
        <x:f>IF(A178="","",IF(OR(B178="",D178="",E178="",F178="",G178="",H178="",J178="",K178="",L178="",M178="",O178="",P178="",AND(I178="",AG178=""),AND(B178&lt;&gt;"repair",B178&lt;&gt;"bridge",C178="")),"INCOMPLETE","CHECK ONLINE"))</x:f>
      </x:c>
      <x:c r="AD178" s="67" t="str">
        <x:f>IF(A178="","",IF(AC178="INCOMPLETE","Fill required fields including RepairSkill and an answer. See Instructions.","Copy all columns with headers to the browser validator for full schema, assets and mode checks."))</x:f>
      </x:c>
      <x:c r="AE178" s="67" t="str">
        <x:f t="shared" si="11">IF(A178="","","https://masteryquests.org/tools/question-bank-validator/")</x:f>
      </x:c>
      <x:c r="AF178" s="60"/>
      <x:c r="AH178" s="60"/>
      <x:c r="AI178" s="60"/>
    </x:row>
    <x:row r="179" ht="45" customHeight="1">
      <x:c r="A179" s="15"/>
      <x:c r="B179" s="15"/>
      <x:c r="C179" s="15"/>
      <x:c r="D179" s="12"/>
      <x:c r="E179" s="12"/>
      <x:c r="F179" s="12"/>
      <x:c r="G179" s="12"/>
      <x:c r="H179" s="12"/>
      <x:c r="I179" s="15"/>
      <x:c r="J179" s="12"/>
      <x:c r="K179" s="12"/>
      <x:c r="L179" s="12"/>
      <x:c r="M179" s="12"/>
      <x:c r="N179" s="12"/>
      <x:c r="O179" s="13"/>
      <x:c r="P179" s="13"/>
      <x:c r="Q179" s="13"/>
      <x:c r="R179" s="13"/>
      <x:c r="S179" s="13"/>
      <x:c r="T179" s="13"/>
      <x:c r="U179" s="14"/>
      <x:c r="V179" s="14"/>
      <x:c r="W179" s="16"/>
      <x:c r="X179" s="16"/>
      <x:c r="Y179" s="14"/>
      <x:c r="Z179" s="66" t="str">
        <x:f t="shared" si="8">IF(A179="","",IF(MAX(LEN(E179),LEN(F179),LEN(G179),LEN(H179))&gt;2*MIN(LEN(E179),LEN(F179),LEN(G179),LEN(H179)),"Review answer lengths",""))</x:f>
      </x:c>
      <x:c r="AA179" s="66" t="str">
        <x:f t="shared" si="9">IF(A179="","",IF(COUNTIF($A$2:$A$301,A179)&gt;1,"Duplicate ID",IF(COUNTIF($D$2:$D$301,D179)&gt;1,"Review repeated text","")))</x:f>
      </x:c>
      <x:c r="AB179" s="66" t="str">
        <x:f t="shared" si="10">IF(A179="","","Unique string or number; no numeric range required")</x:f>
      </x:c>
      <x:c r="AC179" s="66" t="str">
        <x:f>IF(A179="","",IF(OR(B179="",D179="",E179="",F179="",G179="",H179="",J179="",K179="",L179="",M179="",O179="",P179="",AND(I179="",AG179=""),AND(B179&lt;&gt;"repair",B179&lt;&gt;"bridge",C179="")),"INCOMPLETE","CHECK ONLINE"))</x:f>
      </x:c>
      <x:c r="AD179" s="67" t="str">
        <x:f>IF(A179="","",IF(AC179="INCOMPLETE","Fill required fields including RepairSkill and an answer. See Instructions.","Copy all columns with headers to the browser validator for full schema, assets and mode checks."))</x:f>
      </x:c>
      <x:c r="AE179" s="67" t="str">
        <x:f t="shared" si="11">IF(A179="","","https://masteryquests.org/tools/question-bank-validator/")</x:f>
      </x:c>
      <x:c r="AF179" s="60"/>
      <x:c r="AH179" s="60"/>
      <x:c r="AI179" s="60"/>
    </x:row>
    <x:row r="180" ht="45" customHeight="1">
      <x:c r="A180" s="15"/>
      <x:c r="B180" s="15"/>
      <x:c r="C180" s="15"/>
      <x:c r="D180" s="12"/>
      <x:c r="E180" s="12"/>
      <x:c r="F180" s="12"/>
      <x:c r="G180" s="12"/>
      <x:c r="H180" s="12"/>
      <x:c r="I180" s="15"/>
      <x:c r="J180" s="12"/>
      <x:c r="K180" s="12"/>
      <x:c r="L180" s="12"/>
      <x:c r="M180" s="12"/>
      <x:c r="N180" s="12"/>
      <x:c r="O180" s="13"/>
      <x:c r="P180" s="13"/>
      <x:c r="Q180" s="13"/>
      <x:c r="R180" s="13"/>
      <x:c r="S180" s="13"/>
      <x:c r="T180" s="13"/>
      <x:c r="U180" s="14"/>
      <x:c r="V180" s="14"/>
      <x:c r="W180" s="16"/>
      <x:c r="X180" s="16"/>
      <x:c r="Y180" s="14"/>
      <x:c r="Z180" s="66" t="str">
        <x:f t="shared" si="8">IF(A180="","",IF(MAX(LEN(E180),LEN(F180),LEN(G180),LEN(H180))&gt;2*MIN(LEN(E180),LEN(F180),LEN(G180),LEN(H180)),"Review answer lengths",""))</x:f>
      </x:c>
      <x:c r="AA180" s="66" t="str">
        <x:f t="shared" si="9">IF(A180="","",IF(COUNTIF($A$2:$A$301,A180)&gt;1,"Duplicate ID",IF(COUNTIF($D$2:$D$301,D180)&gt;1,"Review repeated text","")))</x:f>
      </x:c>
      <x:c r="AB180" s="66" t="str">
        <x:f t="shared" si="10">IF(A180="","","Unique string or number; no numeric range required")</x:f>
      </x:c>
      <x:c r="AC180" s="66" t="str">
        <x:f>IF(A180="","",IF(OR(B180="",D180="",E180="",F180="",G180="",H180="",J180="",K180="",L180="",M180="",O180="",P180="",AND(I180="",AG180=""),AND(B180&lt;&gt;"repair",B180&lt;&gt;"bridge",C180="")),"INCOMPLETE","CHECK ONLINE"))</x:f>
      </x:c>
      <x:c r="AD180" s="67" t="str">
        <x:f>IF(A180="","",IF(AC180="INCOMPLETE","Fill required fields including RepairSkill and an answer. See Instructions.","Copy all columns with headers to the browser validator for full schema, assets and mode checks."))</x:f>
      </x:c>
      <x:c r="AE180" s="67" t="str">
        <x:f t="shared" si="11">IF(A180="","","https://masteryquests.org/tools/question-bank-validator/")</x:f>
      </x:c>
      <x:c r="AF180" s="60"/>
      <x:c r="AH180" s="60"/>
      <x:c r="AI180" s="60"/>
    </x:row>
    <x:row r="181" ht="45" customHeight="1">
      <x:c r="A181" s="15"/>
      <x:c r="B181" s="15"/>
      <x:c r="C181" s="15"/>
      <x:c r="D181" s="12"/>
      <x:c r="E181" s="12"/>
      <x:c r="F181" s="12"/>
      <x:c r="G181" s="12"/>
      <x:c r="H181" s="12"/>
      <x:c r="I181" s="15"/>
      <x:c r="J181" s="12"/>
      <x:c r="K181" s="12"/>
      <x:c r="L181" s="12"/>
      <x:c r="M181" s="12"/>
      <x:c r="N181" s="12"/>
      <x:c r="O181" s="13"/>
      <x:c r="P181" s="13"/>
      <x:c r="Q181" s="13"/>
      <x:c r="R181" s="13"/>
      <x:c r="S181" s="13"/>
      <x:c r="T181" s="13"/>
      <x:c r="U181" s="14"/>
      <x:c r="V181" s="14"/>
      <x:c r="W181" s="16"/>
      <x:c r="X181" s="16"/>
      <x:c r="Y181" s="14"/>
      <x:c r="Z181" s="66" t="str">
        <x:f t="shared" si="8">IF(A181="","",IF(MAX(LEN(E181),LEN(F181),LEN(G181),LEN(H181))&gt;2*MIN(LEN(E181),LEN(F181),LEN(G181),LEN(H181)),"Review answer lengths",""))</x:f>
      </x:c>
      <x:c r="AA181" s="66" t="str">
        <x:f t="shared" si="9">IF(A181="","",IF(COUNTIF($A$2:$A$301,A181)&gt;1,"Duplicate ID",IF(COUNTIF($D$2:$D$301,D181)&gt;1,"Review repeated text","")))</x:f>
      </x:c>
      <x:c r="AB181" s="66" t="str">
        <x:f t="shared" si="10">IF(A181="","","Unique string or number; no numeric range required")</x:f>
      </x:c>
      <x:c r="AC181" s="66" t="str">
        <x:f>IF(A181="","",IF(OR(B181="",D181="",E181="",F181="",G181="",H181="",J181="",K181="",L181="",M181="",O181="",P181="",AND(I181="",AG181=""),AND(B181&lt;&gt;"repair",B181&lt;&gt;"bridge",C181="")),"INCOMPLETE","CHECK ONLINE"))</x:f>
      </x:c>
      <x:c r="AD181" s="67" t="str">
        <x:f>IF(A181="","",IF(AC181="INCOMPLETE","Fill required fields including RepairSkill and an answer. See Instructions.","Copy all columns with headers to the browser validator for full schema, assets and mode checks."))</x:f>
      </x:c>
      <x:c r="AE181" s="67" t="str">
        <x:f t="shared" si="11">IF(A181="","","https://masteryquests.org/tools/question-bank-validator/")</x:f>
      </x:c>
      <x:c r="AF181" s="60"/>
      <x:c r="AH181" s="60"/>
      <x:c r="AI181" s="60"/>
    </x:row>
    <x:row r="182" ht="45" customHeight="1">
      <x:c r="A182" s="15"/>
      <x:c r="B182" s="15"/>
      <x:c r="C182" s="15"/>
      <x:c r="D182" s="12"/>
      <x:c r="E182" s="12"/>
      <x:c r="F182" s="12"/>
      <x:c r="G182" s="12"/>
      <x:c r="H182" s="12"/>
      <x:c r="I182" s="15"/>
      <x:c r="J182" s="12"/>
      <x:c r="K182" s="12"/>
      <x:c r="L182" s="12"/>
      <x:c r="M182" s="12"/>
      <x:c r="N182" s="12"/>
      <x:c r="O182" s="13"/>
      <x:c r="P182" s="13"/>
      <x:c r="Q182" s="13"/>
      <x:c r="R182" s="13"/>
      <x:c r="S182" s="13"/>
      <x:c r="T182" s="13"/>
      <x:c r="U182" s="14"/>
      <x:c r="V182" s="14"/>
      <x:c r="W182" s="16"/>
      <x:c r="X182" s="16"/>
      <x:c r="Y182" s="14"/>
      <x:c r="Z182" s="66" t="str">
        <x:f t="shared" si="8">IF(A182="","",IF(MAX(LEN(E182),LEN(F182),LEN(G182),LEN(H182))&gt;2*MIN(LEN(E182),LEN(F182),LEN(G182),LEN(H182)),"Review answer lengths",""))</x:f>
      </x:c>
      <x:c r="AA182" s="66" t="str">
        <x:f t="shared" si="9">IF(A182="","",IF(COUNTIF($A$2:$A$301,A182)&gt;1,"Duplicate ID",IF(COUNTIF($D$2:$D$301,D182)&gt;1,"Review repeated text","")))</x:f>
      </x:c>
      <x:c r="AB182" s="66" t="str">
        <x:f t="shared" si="10">IF(A182="","","Unique string or number; no numeric range required")</x:f>
      </x:c>
      <x:c r="AC182" s="66" t="str">
        <x:f>IF(A182="","",IF(OR(B182="",D182="",E182="",F182="",G182="",H182="",J182="",K182="",L182="",M182="",O182="",P182="",AND(I182="",AG182=""),AND(B182&lt;&gt;"repair",B182&lt;&gt;"bridge",C182="")),"INCOMPLETE","CHECK ONLINE"))</x:f>
      </x:c>
      <x:c r="AD182" s="67" t="str">
        <x:f>IF(A182="","",IF(AC182="INCOMPLETE","Fill required fields including RepairSkill and an answer. See Instructions.","Copy all columns with headers to the browser validator for full schema, assets and mode checks."))</x:f>
      </x:c>
      <x:c r="AE182" s="67" t="str">
        <x:f t="shared" si="11">IF(A182="","","https://masteryquests.org/tools/question-bank-validator/")</x:f>
      </x:c>
      <x:c r="AF182" s="60"/>
      <x:c r="AH182" s="60"/>
      <x:c r="AI182" s="60"/>
    </x:row>
    <x:row r="183" ht="45" customHeight="1">
      <x:c r="A183" s="15"/>
      <x:c r="B183" s="15"/>
      <x:c r="C183" s="15"/>
      <x:c r="D183" s="12"/>
      <x:c r="E183" s="12"/>
      <x:c r="F183" s="12"/>
      <x:c r="G183" s="12"/>
      <x:c r="H183" s="12"/>
      <x:c r="I183" s="15"/>
      <x:c r="J183" s="12"/>
      <x:c r="K183" s="12"/>
      <x:c r="L183" s="12"/>
      <x:c r="M183" s="12"/>
      <x:c r="N183" s="12"/>
      <x:c r="O183" s="13"/>
      <x:c r="P183" s="13"/>
      <x:c r="Q183" s="13"/>
      <x:c r="R183" s="13"/>
      <x:c r="S183" s="13"/>
      <x:c r="T183" s="13"/>
      <x:c r="U183" s="14"/>
      <x:c r="V183" s="14"/>
      <x:c r="W183" s="16"/>
      <x:c r="X183" s="16"/>
      <x:c r="Y183" s="14"/>
      <x:c r="Z183" s="66" t="str">
        <x:f t="shared" si="8">IF(A183="","",IF(MAX(LEN(E183),LEN(F183),LEN(G183),LEN(H183))&gt;2*MIN(LEN(E183),LEN(F183),LEN(G183),LEN(H183)),"Review answer lengths",""))</x:f>
      </x:c>
      <x:c r="AA183" s="66" t="str">
        <x:f t="shared" si="9">IF(A183="","",IF(COUNTIF($A$2:$A$301,A183)&gt;1,"Duplicate ID",IF(COUNTIF($D$2:$D$301,D183)&gt;1,"Review repeated text","")))</x:f>
      </x:c>
      <x:c r="AB183" s="66" t="str">
        <x:f t="shared" si="10">IF(A183="","","Unique string or number; no numeric range required")</x:f>
      </x:c>
      <x:c r="AC183" s="66" t="str">
        <x:f>IF(A183="","",IF(OR(B183="",D183="",E183="",F183="",G183="",H183="",J183="",K183="",L183="",M183="",O183="",P183="",AND(I183="",AG183=""),AND(B183&lt;&gt;"repair",B183&lt;&gt;"bridge",C183="")),"INCOMPLETE","CHECK ONLINE"))</x:f>
      </x:c>
      <x:c r="AD183" s="67" t="str">
        <x:f>IF(A183="","",IF(AC183="INCOMPLETE","Fill required fields including RepairSkill and an answer. See Instructions.","Copy all columns with headers to the browser validator for full schema, assets and mode checks."))</x:f>
      </x:c>
      <x:c r="AE183" s="67" t="str">
        <x:f t="shared" si="11">IF(A183="","","https://masteryquests.org/tools/question-bank-validator/")</x:f>
      </x:c>
      <x:c r="AF183" s="60"/>
      <x:c r="AH183" s="60"/>
      <x:c r="AI183" s="60"/>
    </x:row>
    <x:row r="184" ht="45" customHeight="1">
      <x:c r="A184" s="15"/>
      <x:c r="B184" s="15"/>
      <x:c r="C184" s="15"/>
      <x:c r="D184" s="12"/>
      <x:c r="E184" s="12"/>
      <x:c r="F184" s="12"/>
      <x:c r="G184" s="12"/>
      <x:c r="H184" s="12"/>
      <x:c r="I184" s="15"/>
      <x:c r="J184" s="12"/>
      <x:c r="K184" s="12"/>
      <x:c r="L184" s="12"/>
      <x:c r="M184" s="12"/>
      <x:c r="N184" s="12"/>
      <x:c r="O184" s="13"/>
      <x:c r="P184" s="13"/>
      <x:c r="Q184" s="13"/>
      <x:c r="R184" s="13"/>
      <x:c r="S184" s="13"/>
      <x:c r="T184" s="13"/>
      <x:c r="U184" s="14"/>
      <x:c r="V184" s="14"/>
      <x:c r="W184" s="16"/>
      <x:c r="X184" s="16"/>
      <x:c r="Y184" s="14"/>
      <x:c r="Z184" s="66" t="str">
        <x:f t="shared" si="8">IF(A184="","",IF(MAX(LEN(E184),LEN(F184),LEN(G184),LEN(H184))&gt;2*MIN(LEN(E184),LEN(F184),LEN(G184),LEN(H184)),"Review answer lengths",""))</x:f>
      </x:c>
      <x:c r="AA184" s="66" t="str">
        <x:f t="shared" si="9">IF(A184="","",IF(COUNTIF($A$2:$A$301,A184)&gt;1,"Duplicate ID",IF(COUNTIF($D$2:$D$301,D184)&gt;1,"Review repeated text","")))</x:f>
      </x:c>
      <x:c r="AB184" s="66" t="str">
        <x:f t="shared" si="10">IF(A184="","","Unique string or number; no numeric range required")</x:f>
      </x:c>
      <x:c r="AC184" s="66" t="str">
        <x:f>IF(A184="","",IF(OR(B184="",D184="",E184="",F184="",G184="",H184="",J184="",K184="",L184="",M184="",O184="",P184="",AND(I184="",AG184=""),AND(B184&lt;&gt;"repair",B184&lt;&gt;"bridge",C184="")),"INCOMPLETE","CHECK ONLINE"))</x:f>
      </x:c>
      <x:c r="AD184" s="67" t="str">
        <x:f>IF(A184="","",IF(AC184="INCOMPLETE","Fill required fields including RepairSkill and an answer. See Instructions.","Copy all columns with headers to the browser validator for full schema, assets and mode checks."))</x:f>
      </x:c>
      <x:c r="AE184" s="67" t="str">
        <x:f t="shared" si="11">IF(A184="","","https://masteryquests.org/tools/question-bank-validator/")</x:f>
      </x:c>
      <x:c r="AF184" s="60"/>
      <x:c r="AH184" s="60"/>
      <x:c r="AI184" s="60"/>
    </x:row>
    <x:row r="185" ht="45" customHeight="1">
      <x:c r="A185" s="15"/>
      <x:c r="B185" s="15"/>
      <x:c r="C185" s="15"/>
      <x:c r="D185" s="12"/>
      <x:c r="E185" s="12"/>
      <x:c r="F185" s="12"/>
      <x:c r="G185" s="12"/>
      <x:c r="H185" s="12"/>
      <x:c r="I185" s="15"/>
      <x:c r="J185" s="12"/>
      <x:c r="K185" s="12"/>
      <x:c r="L185" s="12"/>
      <x:c r="M185" s="12"/>
      <x:c r="N185" s="12"/>
      <x:c r="O185" s="13"/>
      <x:c r="P185" s="13"/>
      <x:c r="Q185" s="13"/>
      <x:c r="R185" s="13"/>
      <x:c r="S185" s="13"/>
      <x:c r="T185" s="13"/>
      <x:c r="U185" s="14"/>
      <x:c r="V185" s="14"/>
      <x:c r="W185" s="16"/>
      <x:c r="X185" s="16"/>
      <x:c r="Y185" s="14"/>
      <x:c r="Z185" s="66" t="str">
        <x:f t="shared" si="8">IF(A185="","",IF(MAX(LEN(E185),LEN(F185),LEN(G185),LEN(H185))&gt;2*MIN(LEN(E185),LEN(F185),LEN(G185),LEN(H185)),"Review answer lengths",""))</x:f>
      </x:c>
      <x:c r="AA185" s="66" t="str">
        <x:f t="shared" si="9">IF(A185="","",IF(COUNTIF($A$2:$A$301,A185)&gt;1,"Duplicate ID",IF(COUNTIF($D$2:$D$301,D185)&gt;1,"Review repeated text","")))</x:f>
      </x:c>
      <x:c r="AB185" s="66" t="str">
        <x:f t="shared" si="10">IF(A185="","","Unique string or number; no numeric range required")</x:f>
      </x:c>
      <x:c r="AC185" s="66" t="str">
        <x:f>IF(A185="","",IF(OR(B185="",D185="",E185="",F185="",G185="",H185="",J185="",K185="",L185="",M185="",O185="",P185="",AND(I185="",AG185=""),AND(B185&lt;&gt;"repair",B185&lt;&gt;"bridge",C185="")),"INCOMPLETE","CHECK ONLINE"))</x:f>
      </x:c>
      <x:c r="AD185" s="67" t="str">
        <x:f>IF(A185="","",IF(AC185="INCOMPLETE","Fill required fields including RepairSkill and an answer. See Instructions.","Copy all columns with headers to the browser validator for full schema, assets and mode checks."))</x:f>
      </x:c>
      <x:c r="AE185" s="67" t="str">
        <x:f t="shared" si="11">IF(A185="","","https://masteryquests.org/tools/question-bank-validator/")</x:f>
      </x:c>
      <x:c r="AF185" s="60"/>
      <x:c r="AH185" s="60"/>
      <x:c r="AI185" s="60"/>
    </x:row>
    <x:row r="186" ht="45" customHeight="1">
      <x:c r="A186" s="15"/>
      <x:c r="B186" s="15"/>
      <x:c r="C186" s="15"/>
      <x:c r="D186" s="12"/>
      <x:c r="E186" s="12"/>
      <x:c r="F186" s="12"/>
      <x:c r="G186" s="12"/>
      <x:c r="H186" s="12"/>
      <x:c r="I186" s="15"/>
      <x:c r="J186" s="12"/>
      <x:c r="K186" s="12"/>
      <x:c r="L186" s="12"/>
      <x:c r="M186" s="12"/>
      <x:c r="N186" s="12"/>
      <x:c r="O186" s="13"/>
      <x:c r="P186" s="13"/>
      <x:c r="Q186" s="13"/>
      <x:c r="R186" s="13"/>
      <x:c r="S186" s="13"/>
      <x:c r="T186" s="13"/>
      <x:c r="U186" s="14"/>
      <x:c r="V186" s="14"/>
      <x:c r="W186" s="16"/>
      <x:c r="X186" s="16"/>
      <x:c r="Y186" s="14"/>
      <x:c r="Z186" s="66" t="str">
        <x:f t="shared" si="8">IF(A186="","",IF(MAX(LEN(E186),LEN(F186),LEN(G186),LEN(H186))&gt;2*MIN(LEN(E186),LEN(F186),LEN(G186),LEN(H186)),"Review answer lengths",""))</x:f>
      </x:c>
      <x:c r="AA186" s="66" t="str">
        <x:f t="shared" si="9">IF(A186="","",IF(COUNTIF($A$2:$A$301,A186)&gt;1,"Duplicate ID",IF(COUNTIF($D$2:$D$301,D186)&gt;1,"Review repeated text","")))</x:f>
      </x:c>
      <x:c r="AB186" s="66" t="str">
        <x:f t="shared" si="10">IF(A186="","","Unique string or number; no numeric range required")</x:f>
      </x:c>
      <x:c r="AC186" s="66" t="str">
        <x:f>IF(A186="","",IF(OR(B186="",D186="",E186="",F186="",G186="",H186="",J186="",K186="",L186="",M186="",O186="",P186="",AND(I186="",AG186=""),AND(B186&lt;&gt;"repair",B186&lt;&gt;"bridge",C186="")),"INCOMPLETE","CHECK ONLINE"))</x:f>
      </x:c>
      <x:c r="AD186" s="67" t="str">
        <x:f>IF(A186="","",IF(AC186="INCOMPLETE","Fill required fields including RepairSkill and an answer. See Instructions.","Copy all columns with headers to the browser validator for full schema, assets and mode checks."))</x:f>
      </x:c>
      <x:c r="AE186" s="67" t="str">
        <x:f t="shared" si="11">IF(A186="","","https://masteryquests.org/tools/question-bank-validator/")</x:f>
      </x:c>
      <x:c r="AF186" s="60"/>
      <x:c r="AH186" s="60"/>
      <x:c r="AI186" s="60"/>
    </x:row>
    <x:row r="187" ht="45" customHeight="1">
      <x:c r="A187" s="15"/>
      <x:c r="B187" s="15"/>
      <x:c r="C187" s="15"/>
      <x:c r="D187" s="12"/>
      <x:c r="E187" s="12"/>
      <x:c r="F187" s="12"/>
      <x:c r="G187" s="12"/>
      <x:c r="H187" s="12"/>
      <x:c r="I187" s="15"/>
      <x:c r="J187" s="12"/>
      <x:c r="K187" s="12"/>
      <x:c r="L187" s="12"/>
      <x:c r="M187" s="12"/>
      <x:c r="N187" s="12"/>
      <x:c r="O187" s="13"/>
      <x:c r="P187" s="13"/>
      <x:c r="Q187" s="13"/>
      <x:c r="R187" s="13"/>
      <x:c r="S187" s="13"/>
      <x:c r="T187" s="13"/>
      <x:c r="U187" s="14"/>
      <x:c r="V187" s="14"/>
      <x:c r="W187" s="16"/>
      <x:c r="X187" s="16"/>
      <x:c r="Y187" s="14"/>
      <x:c r="Z187" s="66" t="str">
        <x:f t="shared" si="8">IF(A187="","",IF(MAX(LEN(E187),LEN(F187),LEN(G187),LEN(H187))&gt;2*MIN(LEN(E187),LEN(F187),LEN(G187),LEN(H187)),"Review answer lengths",""))</x:f>
      </x:c>
      <x:c r="AA187" s="66" t="str">
        <x:f t="shared" si="9">IF(A187="","",IF(COUNTIF($A$2:$A$301,A187)&gt;1,"Duplicate ID",IF(COUNTIF($D$2:$D$301,D187)&gt;1,"Review repeated text","")))</x:f>
      </x:c>
      <x:c r="AB187" s="66" t="str">
        <x:f t="shared" si="10">IF(A187="","","Unique string or number; no numeric range required")</x:f>
      </x:c>
      <x:c r="AC187" s="66" t="str">
        <x:f>IF(A187="","",IF(OR(B187="",D187="",E187="",F187="",G187="",H187="",J187="",K187="",L187="",M187="",O187="",P187="",AND(I187="",AG187=""),AND(B187&lt;&gt;"repair",B187&lt;&gt;"bridge",C187="")),"INCOMPLETE","CHECK ONLINE"))</x:f>
      </x:c>
      <x:c r="AD187" s="67" t="str">
        <x:f>IF(A187="","",IF(AC187="INCOMPLETE","Fill required fields including RepairSkill and an answer. See Instructions.","Copy all columns with headers to the browser validator for full schema, assets and mode checks."))</x:f>
      </x:c>
      <x:c r="AE187" s="67" t="str">
        <x:f t="shared" si="11">IF(A187="","","https://masteryquests.org/tools/question-bank-validator/")</x:f>
      </x:c>
      <x:c r="AF187" s="60"/>
      <x:c r="AH187" s="60"/>
      <x:c r="AI187" s="60"/>
    </x:row>
    <x:row r="188" ht="45" customHeight="1">
      <x:c r="A188" s="15"/>
      <x:c r="B188" s="15"/>
      <x:c r="C188" s="15"/>
      <x:c r="D188" s="12"/>
      <x:c r="E188" s="12"/>
      <x:c r="F188" s="12"/>
      <x:c r="G188" s="12"/>
      <x:c r="H188" s="12"/>
      <x:c r="I188" s="15"/>
      <x:c r="J188" s="12"/>
      <x:c r="K188" s="12"/>
      <x:c r="L188" s="12"/>
      <x:c r="M188" s="12"/>
      <x:c r="N188" s="12"/>
      <x:c r="O188" s="13"/>
      <x:c r="P188" s="13"/>
      <x:c r="Q188" s="13"/>
      <x:c r="R188" s="13"/>
      <x:c r="S188" s="13"/>
      <x:c r="T188" s="13"/>
      <x:c r="U188" s="14"/>
      <x:c r="V188" s="14"/>
      <x:c r="W188" s="16"/>
      <x:c r="X188" s="16"/>
      <x:c r="Y188" s="14"/>
      <x:c r="Z188" s="66" t="str">
        <x:f t="shared" si="8">IF(A188="","",IF(MAX(LEN(E188),LEN(F188),LEN(G188),LEN(H188))&gt;2*MIN(LEN(E188),LEN(F188),LEN(G188),LEN(H188)),"Review answer lengths",""))</x:f>
      </x:c>
      <x:c r="AA188" s="66" t="str">
        <x:f t="shared" si="9">IF(A188="","",IF(COUNTIF($A$2:$A$301,A188)&gt;1,"Duplicate ID",IF(COUNTIF($D$2:$D$301,D188)&gt;1,"Review repeated text","")))</x:f>
      </x:c>
      <x:c r="AB188" s="66" t="str">
        <x:f t="shared" si="10">IF(A188="","","Unique string or number; no numeric range required")</x:f>
      </x:c>
      <x:c r="AC188" s="66" t="str">
        <x:f>IF(A188="","",IF(OR(B188="",D188="",E188="",F188="",G188="",H188="",J188="",K188="",L188="",M188="",O188="",P188="",AND(I188="",AG188=""),AND(B188&lt;&gt;"repair",B188&lt;&gt;"bridge",C188="")),"INCOMPLETE","CHECK ONLINE"))</x:f>
      </x:c>
      <x:c r="AD188" s="67" t="str">
        <x:f>IF(A188="","",IF(AC188="INCOMPLETE","Fill required fields including RepairSkill and an answer. See Instructions.","Copy all columns with headers to the browser validator for full schema, assets and mode checks."))</x:f>
      </x:c>
      <x:c r="AE188" s="67" t="str">
        <x:f t="shared" si="11">IF(A188="","","https://masteryquests.org/tools/question-bank-validator/")</x:f>
      </x:c>
      <x:c r="AF188" s="60"/>
      <x:c r="AH188" s="60"/>
      <x:c r="AI188" s="60"/>
    </x:row>
    <x:row r="189" ht="45" customHeight="1">
      <x:c r="A189" s="15"/>
      <x:c r="B189" s="15"/>
      <x:c r="C189" s="15"/>
      <x:c r="D189" s="12"/>
      <x:c r="E189" s="12"/>
      <x:c r="F189" s="12"/>
      <x:c r="G189" s="12"/>
      <x:c r="H189" s="12"/>
      <x:c r="I189" s="15"/>
      <x:c r="J189" s="12"/>
      <x:c r="K189" s="12"/>
      <x:c r="L189" s="12"/>
      <x:c r="M189" s="12"/>
      <x:c r="N189" s="12"/>
      <x:c r="O189" s="13"/>
      <x:c r="P189" s="13"/>
      <x:c r="Q189" s="13"/>
      <x:c r="R189" s="13"/>
      <x:c r="S189" s="13"/>
      <x:c r="T189" s="13"/>
      <x:c r="U189" s="14"/>
      <x:c r="V189" s="14"/>
      <x:c r="W189" s="16"/>
      <x:c r="X189" s="16"/>
      <x:c r="Y189" s="14"/>
      <x:c r="Z189" s="66" t="str">
        <x:f t="shared" si="8">IF(A189="","",IF(MAX(LEN(E189),LEN(F189),LEN(G189),LEN(H189))&gt;2*MIN(LEN(E189),LEN(F189),LEN(G189),LEN(H189)),"Review answer lengths",""))</x:f>
      </x:c>
      <x:c r="AA189" s="66" t="str">
        <x:f t="shared" si="9">IF(A189="","",IF(COUNTIF($A$2:$A$301,A189)&gt;1,"Duplicate ID",IF(COUNTIF($D$2:$D$301,D189)&gt;1,"Review repeated text","")))</x:f>
      </x:c>
      <x:c r="AB189" s="66" t="str">
        <x:f t="shared" si="10">IF(A189="","","Unique string or number; no numeric range required")</x:f>
      </x:c>
      <x:c r="AC189" s="66" t="str">
        <x:f>IF(A189="","",IF(OR(B189="",D189="",E189="",F189="",G189="",H189="",J189="",K189="",L189="",M189="",O189="",P189="",AND(I189="",AG189=""),AND(B189&lt;&gt;"repair",B189&lt;&gt;"bridge",C189="")),"INCOMPLETE","CHECK ONLINE"))</x:f>
      </x:c>
      <x:c r="AD189" s="67" t="str">
        <x:f>IF(A189="","",IF(AC189="INCOMPLETE","Fill required fields including RepairSkill and an answer. See Instructions.","Copy all columns with headers to the browser validator for full schema, assets and mode checks."))</x:f>
      </x:c>
      <x:c r="AE189" s="67" t="str">
        <x:f t="shared" si="11">IF(A189="","","https://masteryquests.org/tools/question-bank-validator/")</x:f>
      </x:c>
      <x:c r="AF189" s="60"/>
      <x:c r="AH189" s="60"/>
      <x:c r="AI189" s="60"/>
    </x:row>
    <x:row r="190" ht="45" customHeight="1">
      <x:c r="A190" s="15"/>
      <x:c r="B190" s="15"/>
      <x:c r="C190" s="15"/>
      <x:c r="D190" s="12"/>
      <x:c r="E190" s="12"/>
      <x:c r="F190" s="12"/>
      <x:c r="G190" s="12"/>
      <x:c r="H190" s="12"/>
      <x:c r="I190" s="15"/>
      <x:c r="J190" s="12"/>
      <x:c r="K190" s="12"/>
      <x:c r="L190" s="12"/>
      <x:c r="M190" s="12"/>
      <x:c r="N190" s="12"/>
      <x:c r="O190" s="13"/>
      <x:c r="P190" s="13"/>
      <x:c r="Q190" s="13"/>
      <x:c r="R190" s="13"/>
      <x:c r="S190" s="13"/>
      <x:c r="T190" s="13"/>
      <x:c r="U190" s="14"/>
      <x:c r="V190" s="14"/>
      <x:c r="W190" s="16"/>
      <x:c r="X190" s="16"/>
      <x:c r="Y190" s="14"/>
      <x:c r="Z190" s="66" t="str">
        <x:f t="shared" si="8">IF(A190="","",IF(MAX(LEN(E190),LEN(F190),LEN(G190),LEN(H190))&gt;2*MIN(LEN(E190),LEN(F190),LEN(G190),LEN(H190)),"Review answer lengths",""))</x:f>
      </x:c>
      <x:c r="AA190" s="66" t="str">
        <x:f t="shared" si="9">IF(A190="","",IF(COUNTIF($A$2:$A$301,A190)&gt;1,"Duplicate ID",IF(COUNTIF($D$2:$D$301,D190)&gt;1,"Review repeated text","")))</x:f>
      </x:c>
      <x:c r="AB190" s="66" t="str">
        <x:f t="shared" si="10">IF(A190="","","Unique string or number; no numeric range required")</x:f>
      </x:c>
      <x:c r="AC190" s="66" t="str">
        <x:f>IF(A190="","",IF(OR(B190="",D190="",E190="",F190="",G190="",H190="",J190="",K190="",L190="",M190="",O190="",P190="",AND(I190="",AG190=""),AND(B190&lt;&gt;"repair",B190&lt;&gt;"bridge",C190="")),"INCOMPLETE","CHECK ONLINE"))</x:f>
      </x:c>
      <x:c r="AD190" s="67" t="str">
        <x:f>IF(A190="","",IF(AC190="INCOMPLETE","Fill required fields including RepairSkill and an answer. See Instructions.","Copy all columns with headers to the browser validator for full schema, assets and mode checks."))</x:f>
      </x:c>
      <x:c r="AE190" s="67" t="str">
        <x:f t="shared" si="11">IF(A190="","","https://masteryquests.org/tools/question-bank-validator/")</x:f>
      </x:c>
      <x:c r="AF190" s="60"/>
      <x:c r="AH190" s="60"/>
      <x:c r="AI190" s="60"/>
    </x:row>
    <x:row r="191" ht="45" customHeight="1">
      <x:c r="A191" s="15"/>
      <x:c r="B191" s="15"/>
      <x:c r="C191" s="15"/>
      <x:c r="D191" s="12"/>
      <x:c r="E191" s="12"/>
      <x:c r="F191" s="12"/>
      <x:c r="G191" s="12"/>
      <x:c r="H191" s="12"/>
      <x:c r="I191" s="15"/>
      <x:c r="J191" s="12"/>
      <x:c r="K191" s="12"/>
      <x:c r="L191" s="12"/>
      <x:c r="M191" s="12"/>
      <x:c r="N191" s="12"/>
      <x:c r="O191" s="13"/>
      <x:c r="P191" s="13"/>
      <x:c r="Q191" s="13"/>
      <x:c r="R191" s="13"/>
      <x:c r="S191" s="13"/>
      <x:c r="T191" s="13"/>
      <x:c r="U191" s="14"/>
      <x:c r="V191" s="14"/>
      <x:c r="W191" s="16"/>
      <x:c r="X191" s="16"/>
      <x:c r="Y191" s="14"/>
      <x:c r="Z191" s="66" t="str">
        <x:f t="shared" si="8">IF(A191="","",IF(MAX(LEN(E191),LEN(F191),LEN(G191),LEN(H191))&gt;2*MIN(LEN(E191),LEN(F191),LEN(G191),LEN(H191)),"Review answer lengths",""))</x:f>
      </x:c>
      <x:c r="AA191" s="66" t="str">
        <x:f t="shared" si="9">IF(A191="","",IF(COUNTIF($A$2:$A$301,A191)&gt;1,"Duplicate ID",IF(COUNTIF($D$2:$D$301,D191)&gt;1,"Review repeated text","")))</x:f>
      </x:c>
      <x:c r="AB191" s="66" t="str">
        <x:f t="shared" si="10">IF(A191="","","Unique string or number; no numeric range required")</x:f>
      </x:c>
      <x:c r="AC191" s="66" t="str">
        <x:f>IF(A191="","",IF(OR(B191="",D191="",E191="",F191="",G191="",H191="",J191="",K191="",L191="",M191="",O191="",P191="",AND(I191="",AG191=""),AND(B191&lt;&gt;"repair",B191&lt;&gt;"bridge",C191="")),"INCOMPLETE","CHECK ONLINE"))</x:f>
      </x:c>
      <x:c r="AD191" s="67" t="str">
        <x:f>IF(A191="","",IF(AC191="INCOMPLETE","Fill required fields including RepairSkill and an answer. See Instructions.","Copy all columns with headers to the browser validator for full schema, assets and mode checks."))</x:f>
      </x:c>
      <x:c r="AE191" s="67" t="str">
        <x:f t="shared" si="11">IF(A191="","","https://masteryquests.org/tools/question-bank-validator/")</x:f>
      </x:c>
      <x:c r="AF191" s="60"/>
      <x:c r="AH191" s="60"/>
      <x:c r="AI191" s="60"/>
    </x:row>
    <x:row r="192" ht="45" customHeight="1">
      <x:c r="A192" s="15"/>
      <x:c r="B192" s="15"/>
      <x:c r="C192" s="15"/>
      <x:c r="D192" s="12"/>
      <x:c r="E192" s="12"/>
      <x:c r="F192" s="12"/>
      <x:c r="G192" s="12"/>
      <x:c r="H192" s="12"/>
      <x:c r="I192" s="15"/>
      <x:c r="J192" s="12"/>
      <x:c r="K192" s="12"/>
      <x:c r="L192" s="12"/>
      <x:c r="M192" s="12"/>
      <x:c r="N192" s="12"/>
      <x:c r="O192" s="13"/>
      <x:c r="P192" s="13"/>
      <x:c r="Q192" s="13"/>
      <x:c r="R192" s="13"/>
      <x:c r="S192" s="13"/>
      <x:c r="T192" s="13"/>
      <x:c r="U192" s="14"/>
      <x:c r="V192" s="14"/>
      <x:c r="W192" s="16"/>
      <x:c r="X192" s="16"/>
      <x:c r="Y192" s="14"/>
      <x:c r="Z192" s="66" t="str">
        <x:f t="shared" si="8">IF(A192="","",IF(MAX(LEN(E192),LEN(F192),LEN(G192),LEN(H192))&gt;2*MIN(LEN(E192),LEN(F192),LEN(G192),LEN(H192)),"Review answer lengths",""))</x:f>
      </x:c>
      <x:c r="AA192" s="66" t="str">
        <x:f t="shared" si="9">IF(A192="","",IF(COUNTIF($A$2:$A$301,A192)&gt;1,"Duplicate ID",IF(COUNTIF($D$2:$D$301,D192)&gt;1,"Review repeated text","")))</x:f>
      </x:c>
      <x:c r="AB192" s="66" t="str">
        <x:f t="shared" si="10">IF(A192="","","Unique string or number; no numeric range required")</x:f>
      </x:c>
      <x:c r="AC192" s="66" t="str">
        <x:f>IF(A192="","",IF(OR(B192="",D192="",E192="",F192="",G192="",H192="",J192="",K192="",L192="",M192="",O192="",P192="",AND(I192="",AG192=""),AND(B192&lt;&gt;"repair",B192&lt;&gt;"bridge",C192="")),"INCOMPLETE","CHECK ONLINE"))</x:f>
      </x:c>
      <x:c r="AD192" s="67" t="str">
        <x:f>IF(A192="","",IF(AC192="INCOMPLETE","Fill required fields including RepairSkill and an answer. See Instructions.","Copy all columns with headers to the browser validator for full schema, assets and mode checks."))</x:f>
      </x:c>
      <x:c r="AE192" s="67" t="str">
        <x:f t="shared" si="11">IF(A192="","","https://masteryquests.org/tools/question-bank-validator/")</x:f>
      </x:c>
      <x:c r="AF192" s="60"/>
      <x:c r="AH192" s="60"/>
      <x:c r="AI192" s="60"/>
    </x:row>
    <x:row r="193" ht="45" customHeight="1">
      <x:c r="A193" s="15"/>
      <x:c r="B193" s="15"/>
      <x:c r="C193" s="15"/>
      <x:c r="D193" s="12"/>
      <x:c r="E193" s="12"/>
      <x:c r="F193" s="12"/>
      <x:c r="G193" s="12"/>
      <x:c r="H193" s="12"/>
      <x:c r="I193" s="15"/>
      <x:c r="J193" s="12"/>
      <x:c r="K193" s="12"/>
      <x:c r="L193" s="12"/>
      <x:c r="M193" s="12"/>
      <x:c r="N193" s="12"/>
      <x:c r="O193" s="13"/>
      <x:c r="P193" s="13"/>
      <x:c r="Q193" s="13"/>
      <x:c r="R193" s="13"/>
      <x:c r="S193" s="13"/>
      <x:c r="T193" s="13"/>
      <x:c r="U193" s="14"/>
      <x:c r="V193" s="14"/>
      <x:c r="W193" s="16"/>
      <x:c r="X193" s="16"/>
      <x:c r="Y193" s="14"/>
      <x:c r="Z193" s="66" t="str">
        <x:f t="shared" si="8">IF(A193="","",IF(MAX(LEN(E193),LEN(F193),LEN(G193),LEN(H193))&gt;2*MIN(LEN(E193),LEN(F193),LEN(G193),LEN(H193)),"Review answer lengths",""))</x:f>
      </x:c>
      <x:c r="AA193" s="66" t="str">
        <x:f t="shared" si="9">IF(A193="","",IF(COUNTIF($A$2:$A$301,A193)&gt;1,"Duplicate ID",IF(COUNTIF($D$2:$D$301,D193)&gt;1,"Review repeated text","")))</x:f>
      </x:c>
      <x:c r="AB193" s="66" t="str">
        <x:f t="shared" si="10">IF(A193="","","Unique string or number; no numeric range required")</x:f>
      </x:c>
      <x:c r="AC193" s="66" t="str">
        <x:f>IF(A193="","",IF(OR(B193="",D193="",E193="",F193="",G193="",H193="",J193="",K193="",L193="",M193="",O193="",P193="",AND(I193="",AG193=""),AND(B193&lt;&gt;"repair",B193&lt;&gt;"bridge",C193="")),"INCOMPLETE","CHECK ONLINE"))</x:f>
      </x:c>
      <x:c r="AD193" s="67" t="str">
        <x:f>IF(A193="","",IF(AC193="INCOMPLETE","Fill required fields including RepairSkill and an answer. See Instructions.","Copy all columns with headers to the browser validator for full schema, assets and mode checks."))</x:f>
      </x:c>
      <x:c r="AE193" s="67" t="str">
        <x:f t="shared" si="11">IF(A193="","","https://masteryquests.org/tools/question-bank-validator/")</x:f>
      </x:c>
      <x:c r="AF193" s="60"/>
      <x:c r="AH193" s="60"/>
      <x:c r="AI193" s="60"/>
    </x:row>
    <x:row r="194" ht="45" customHeight="1">
      <x:c r="A194" s="15"/>
      <x:c r="B194" s="15"/>
      <x:c r="C194" s="15"/>
      <x:c r="D194" s="12"/>
      <x:c r="E194" s="12"/>
      <x:c r="F194" s="12"/>
      <x:c r="G194" s="12"/>
      <x:c r="H194" s="12"/>
      <x:c r="I194" s="15"/>
      <x:c r="J194" s="12"/>
      <x:c r="K194" s="12"/>
      <x:c r="L194" s="12"/>
      <x:c r="M194" s="12"/>
      <x:c r="N194" s="12"/>
      <x:c r="O194" s="13"/>
      <x:c r="P194" s="13"/>
      <x:c r="Q194" s="13"/>
      <x:c r="R194" s="13"/>
      <x:c r="S194" s="13"/>
      <x:c r="T194" s="13"/>
      <x:c r="U194" s="14"/>
      <x:c r="V194" s="14"/>
      <x:c r="W194" s="16"/>
      <x:c r="X194" s="16"/>
      <x:c r="Y194" s="14"/>
      <x:c r="Z194" s="66" t="str">
        <x:f t="shared" ref="Z194:Z257" si="12">IF(A194="","",IF(MAX(LEN(E194),LEN(F194),LEN(G194),LEN(H194))&gt;2*MIN(LEN(E194),LEN(F194),LEN(G194),LEN(H194)),"Review answer lengths",""))</x:f>
      </x:c>
      <x:c r="AA194" s="66" t="str">
        <x:f t="shared" ref="AA194:AA257" si="13">IF(A194="","",IF(COUNTIF($A$2:$A$301,A194)&gt;1,"Duplicate ID",IF(COUNTIF($D$2:$D$301,D194)&gt;1,"Review repeated text","")))</x:f>
      </x:c>
      <x:c r="AB194" s="66" t="str">
        <x:f t="shared" ref="AB194:AB257" si="14">IF(A194="","","Unique string or number; no numeric range required")</x:f>
      </x:c>
      <x:c r="AC194" s="66" t="str">
        <x:f>IF(A194="","",IF(OR(B194="",D194="",E194="",F194="",G194="",H194="",J194="",K194="",L194="",M194="",O194="",P194="",AND(I194="",AG194=""),AND(B194&lt;&gt;"repair",B194&lt;&gt;"bridge",C194="")),"INCOMPLETE","CHECK ONLINE"))</x:f>
      </x:c>
      <x:c r="AD194" s="67" t="str">
        <x:f>IF(A194="","",IF(AC194="INCOMPLETE","Fill required fields including RepairSkill and an answer. See Instructions.","Copy all columns with headers to the browser validator for full schema, assets and mode checks."))</x:f>
      </x:c>
      <x:c r="AE194" s="67" t="str">
        <x:f t="shared" ref="AE194:AE257" si="15">IF(A194="","","https://masteryquests.org/tools/question-bank-validator/")</x:f>
      </x:c>
      <x:c r="AF194" s="60"/>
      <x:c r="AH194" s="60"/>
      <x:c r="AI194" s="60"/>
    </x:row>
    <x:row r="195" ht="45" customHeight="1">
      <x:c r="A195" s="15"/>
      <x:c r="B195" s="15"/>
      <x:c r="C195" s="15"/>
      <x:c r="D195" s="12"/>
      <x:c r="E195" s="12"/>
      <x:c r="F195" s="12"/>
      <x:c r="G195" s="12"/>
      <x:c r="H195" s="12"/>
      <x:c r="I195" s="15"/>
      <x:c r="J195" s="12"/>
      <x:c r="K195" s="12"/>
      <x:c r="L195" s="12"/>
      <x:c r="M195" s="12"/>
      <x:c r="N195" s="12"/>
      <x:c r="O195" s="13"/>
      <x:c r="P195" s="13"/>
      <x:c r="Q195" s="13"/>
      <x:c r="R195" s="13"/>
      <x:c r="S195" s="13"/>
      <x:c r="T195" s="13"/>
      <x:c r="U195" s="14"/>
      <x:c r="V195" s="14"/>
      <x:c r="W195" s="16"/>
      <x:c r="X195" s="16"/>
      <x:c r="Y195" s="14"/>
      <x:c r="Z195" s="66" t="str">
        <x:f t="shared" si="12">IF(A195="","",IF(MAX(LEN(E195),LEN(F195),LEN(G195),LEN(H195))&gt;2*MIN(LEN(E195),LEN(F195),LEN(G195),LEN(H195)),"Review answer lengths",""))</x:f>
      </x:c>
      <x:c r="AA195" s="66" t="str">
        <x:f t="shared" si="13">IF(A195="","",IF(COUNTIF($A$2:$A$301,A195)&gt;1,"Duplicate ID",IF(COUNTIF($D$2:$D$301,D195)&gt;1,"Review repeated text","")))</x:f>
      </x:c>
      <x:c r="AB195" s="66" t="str">
        <x:f t="shared" si="14">IF(A195="","","Unique string or number; no numeric range required")</x:f>
      </x:c>
      <x:c r="AC195" s="66" t="str">
        <x:f>IF(A195="","",IF(OR(B195="",D195="",E195="",F195="",G195="",H195="",J195="",K195="",L195="",M195="",O195="",P195="",AND(I195="",AG195=""),AND(B195&lt;&gt;"repair",B195&lt;&gt;"bridge",C195="")),"INCOMPLETE","CHECK ONLINE"))</x:f>
      </x:c>
      <x:c r="AD195" s="67" t="str">
        <x:f>IF(A195="","",IF(AC195="INCOMPLETE","Fill required fields including RepairSkill and an answer. See Instructions.","Copy all columns with headers to the browser validator for full schema, assets and mode checks."))</x:f>
      </x:c>
      <x:c r="AE195" s="67" t="str">
        <x:f t="shared" si="15">IF(A195="","","https://masteryquests.org/tools/question-bank-validator/")</x:f>
      </x:c>
      <x:c r="AF195" s="60"/>
      <x:c r="AH195" s="60"/>
      <x:c r="AI195" s="60"/>
    </x:row>
    <x:row r="196" ht="45" customHeight="1">
      <x:c r="A196" s="15"/>
      <x:c r="B196" s="15"/>
      <x:c r="C196" s="15"/>
      <x:c r="D196" s="12"/>
      <x:c r="E196" s="12"/>
      <x:c r="F196" s="12"/>
      <x:c r="G196" s="12"/>
      <x:c r="H196" s="12"/>
      <x:c r="I196" s="15"/>
      <x:c r="J196" s="12"/>
      <x:c r="K196" s="12"/>
      <x:c r="L196" s="12"/>
      <x:c r="M196" s="12"/>
      <x:c r="N196" s="12"/>
      <x:c r="O196" s="13"/>
      <x:c r="P196" s="13"/>
      <x:c r="Q196" s="13"/>
      <x:c r="R196" s="13"/>
      <x:c r="S196" s="13"/>
      <x:c r="T196" s="13"/>
      <x:c r="U196" s="14"/>
      <x:c r="V196" s="14"/>
      <x:c r="W196" s="16"/>
      <x:c r="X196" s="16"/>
      <x:c r="Y196" s="14"/>
      <x:c r="Z196" s="66" t="str">
        <x:f t="shared" si="12">IF(A196="","",IF(MAX(LEN(E196),LEN(F196),LEN(G196),LEN(H196))&gt;2*MIN(LEN(E196),LEN(F196),LEN(G196),LEN(H196)),"Review answer lengths",""))</x:f>
      </x:c>
      <x:c r="AA196" s="66" t="str">
        <x:f t="shared" si="13">IF(A196="","",IF(COUNTIF($A$2:$A$301,A196)&gt;1,"Duplicate ID",IF(COUNTIF($D$2:$D$301,D196)&gt;1,"Review repeated text","")))</x:f>
      </x:c>
      <x:c r="AB196" s="66" t="str">
        <x:f t="shared" si="14">IF(A196="","","Unique string or number; no numeric range required")</x:f>
      </x:c>
      <x:c r="AC196" s="66" t="str">
        <x:f>IF(A196="","",IF(OR(B196="",D196="",E196="",F196="",G196="",H196="",J196="",K196="",L196="",M196="",O196="",P196="",AND(I196="",AG196=""),AND(B196&lt;&gt;"repair",B196&lt;&gt;"bridge",C196="")),"INCOMPLETE","CHECK ONLINE"))</x:f>
      </x:c>
      <x:c r="AD196" s="67" t="str">
        <x:f>IF(A196="","",IF(AC196="INCOMPLETE","Fill required fields including RepairSkill and an answer. See Instructions.","Copy all columns with headers to the browser validator for full schema, assets and mode checks."))</x:f>
      </x:c>
      <x:c r="AE196" s="67" t="str">
        <x:f t="shared" si="15">IF(A196="","","https://masteryquests.org/tools/question-bank-validator/")</x:f>
      </x:c>
      <x:c r="AF196" s="60"/>
      <x:c r="AH196" s="60"/>
      <x:c r="AI196" s="60"/>
    </x:row>
    <x:row r="197" ht="45" customHeight="1">
      <x:c r="A197" s="15"/>
      <x:c r="B197" s="15"/>
      <x:c r="C197" s="15"/>
      <x:c r="D197" s="12"/>
      <x:c r="E197" s="12"/>
      <x:c r="F197" s="12"/>
      <x:c r="G197" s="12"/>
      <x:c r="H197" s="12"/>
      <x:c r="I197" s="15"/>
      <x:c r="J197" s="12"/>
      <x:c r="K197" s="12"/>
      <x:c r="L197" s="12"/>
      <x:c r="M197" s="12"/>
      <x:c r="N197" s="12"/>
      <x:c r="O197" s="13"/>
      <x:c r="P197" s="13"/>
      <x:c r="Q197" s="13"/>
      <x:c r="R197" s="13"/>
      <x:c r="S197" s="13"/>
      <x:c r="T197" s="13"/>
      <x:c r="U197" s="14"/>
      <x:c r="V197" s="14"/>
      <x:c r="W197" s="16"/>
      <x:c r="X197" s="16"/>
      <x:c r="Y197" s="14"/>
      <x:c r="Z197" s="66" t="str">
        <x:f t="shared" si="12">IF(A197="","",IF(MAX(LEN(E197),LEN(F197),LEN(G197),LEN(H197))&gt;2*MIN(LEN(E197),LEN(F197),LEN(G197),LEN(H197)),"Review answer lengths",""))</x:f>
      </x:c>
      <x:c r="AA197" s="66" t="str">
        <x:f t="shared" si="13">IF(A197="","",IF(COUNTIF($A$2:$A$301,A197)&gt;1,"Duplicate ID",IF(COUNTIF($D$2:$D$301,D197)&gt;1,"Review repeated text","")))</x:f>
      </x:c>
      <x:c r="AB197" s="66" t="str">
        <x:f t="shared" si="14">IF(A197="","","Unique string or number; no numeric range required")</x:f>
      </x:c>
      <x:c r="AC197" s="66" t="str">
        <x:f>IF(A197="","",IF(OR(B197="",D197="",E197="",F197="",G197="",H197="",J197="",K197="",L197="",M197="",O197="",P197="",AND(I197="",AG197=""),AND(B197&lt;&gt;"repair",B197&lt;&gt;"bridge",C197="")),"INCOMPLETE","CHECK ONLINE"))</x:f>
      </x:c>
      <x:c r="AD197" s="67" t="str">
        <x:f>IF(A197="","",IF(AC197="INCOMPLETE","Fill required fields including RepairSkill and an answer. See Instructions.","Copy all columns with headers to the browser validator for full schema, assets and mode checks."))</x:f>
      </x:c>
      <x:c r="AE197" s="67" t="str">
        <x:f t="shared" si="15">IF(A197="","","https://masteryquests.org/tools/question-bank-validator/")</x:f>
      </x:c>
      <x:c r="AF197" s="60"/>
      <x:c r="AH197" s="60"/>
      <x:c r="AI197" s="60"/>
    </x:row>
    <x:row r="198" ht="45" customHeight="1">
      <x:c r="A198" s="15"/>
      <x:c r="B198" s="15"/>
      <x:c r="C198" s="15"/>
      <x:c r="D198" s="12"/>
      <x:c r="E198" s="12"/>
      <x:c r="F198" s="12"/>
      <x:c r="G198" s="12"/>
      <x:c r="H198" s="12"/>
      <x:c r="I198" s="15"/>
      <x:c r="J198" s="12"/>
      <x:c r="K198" s="12"/>
      <x:c r="L198" s="12"/>
      <x:c r="M198" s="12"/>
      <x:c r="N198" s="12"/>
      <x:c r="O198" s="13"/>
      <x:c r="P198" s="13"/>
      <x:c r="Q198" s="13"/>
      <x:c r="R198" s="13"/>
      <x:c r="S198" s="13"/>
      <x:c r="T198" s="13"/>
      <x:c r="U198" s="14"/>
      <x:c r="V198" s="14"/>
      <x:c r="W198" s="16"/>
      <x:c r="X198" s="16"/>
      <x:c r="Y198" s="14"/>
      <x:c r="Z198" s="66" t="str">
        <x:f t="shared" si="12">IF(A198="","",IF(MAX(LEN(E198),LEN(F198),LEN(G198),LEN(H198))&gt;2*MIN(LEN(E198),LEN(F198),LEN(G198),LEN(H198)),"Review answer lengths",""))</x:f>
      </x:c>
      <x:c r="AA198" s="66" t="str">
        <x:f t="shared" si="13">IF(A198="","",IF(COUNTIF($A$2:$A$301,A198)&gt;1,"Duplicate ID",IF(COUNTIF($D$2:$D$301,D198)&gt;1,"Review repeated text","")))</x:f>
      </x:c>
      <x:c r="AB198" s="66" t="str">
        <x:f t="shared" si="14">IF(A198="","","Unique string or number; no numeric range required")</x:f>
      </x:c>
      <x:c r="AC198" s="66" t="str">
        <x:f>IF(A198="","",IF(OR(B198="",D198="",E198="",F198="",G198="",H198="",J198="",K198="",L198="",M198="",O198="",P198="",AND(I198="",AG198=""),AND(B198&lt;&gt;"repair",B198&lt;&gt;"bridge",C198="")),"INCOMPLETE","CHECK ONLINE"))</x:f>
      </x:c>
      <x:c r="AD198" s="67" t="str">
        <x:f>IF(A198="","",IF(AC198="INCOMPLETE","Fill required fields including RepairSkill and an answer. See Instructions.","Copy all columns with headers to the browser validator for full schema, assets and mode checks."))</x:f>
      </x:c>
      <x:c r="AE198" s="67" t="str">
        <x:f t="shared" si="15">IF(A198="","","https://masteryquests.org/tools/question-bank-validator/")</x:f>
      </x:c>
      <x:c r="AF198" s="60"/>
      <x:c r="AH198" s="60"/>
      <x:c r="AI198" s="60"/>
    </x:row>
    <x:row r="199" ht="45" customHeight="1">
      <x:c r="A199" s="15"/>
      <x:c r="B199" s="15"/>
      <x:c r="C199" s="15"/>
      <x:c r="D199" s="12"/>
      <x:c r="E199" s="12"/>
      <x:c r="F199" s="12"/>
      <x:c r="G199" s="12"/>
      <x:c r="H199" s="12"/>
      <x:c r="I199" s="15"/>
      <x:c r="J199" s="12"/>
      <x:c r="K199" s="12"/>
      <x:c r="L199" s="12"/>
      <x:c r="M199" s="12"/>
      <x:c r="N199" s="12"/>
      <x:c r="O199" s="13"/>
      <x:c r="P199" s="13"/>
      <x:c r="Q199" s="13"/>
      <x:c r="R199" s="13"/>
      <x:c r="S199" s="13"/>
      <x:c r="T199" s="13"/>
      <x:c r="U199" s="14"/>
      <x:c r="V199" s="14"/>
      <x:c r="W199" s="16"/>
      <x:c r="X199" s="16"/>
      <x:c r="Y199" s="14"/>
      <x:c r="Z199" s="66" t="str">
        <x:f t="shared" si="12">IF(A199="","",IF(MAX(LEN(E199),LEN(F199),LEN(G199),LEN(H199))&gt;2*MIN(LEN(E199),LEN(F199),LEN(G199),LEN(H199)),"Review answer lengths",""))</x:f>
      </x:c>
      <x:c r="AA199" s="66" t="str">
        <x:f t="shared" si="13">IF(A199="","",IF(COUNTIF($A$2:$A$301,A199)&gt;1,"Duplicate ID",IF(COUNTIF($D$2:$D$301,D199)&gt;1,"Review repeated text","")))</x:f>
      </x:c>
      <x:c r="AB199" s="66" t="str">
        <x:f t="shared" si="14">IF(A199="","","Unique string or number; no numeric range required")</x:f>
      </x:c>
      <x:c r="AC199" s="66" t="str">
        <x:f>IF(A199="","",IF(OR(B199="",D199="",E199="",F199="",G199="",H199="",J199="",K199="",L199="",M199="",O199="",P199="",AND(I199="",AG199=""),AND(B199&lt;&gt;"repair",B199&lt;&gt;"bridge",C199="")),"INCOMPLETE","CHECK ONLINE"))</x:f>
      </x:c>
      <x:c r="AD199" s="67" t="str">
        <x:f>IF(A199="","",IF(AC199="INCOMPLETE","Fill required fields including RepairSkill and an answer. See Instructions.","Copy all columns with headers to the browser validator for full schema, assets and mode checks."))</x:f>
      </x:c>
      <x:c r="AE199" s="67" t="str">
        <x:f t="shared" si="15">IF(A199="","","https://masteryquests.org/tools/question-bank-validator/")</x:f>
      </x:c>
      <x:c r="AF199" s="60"/>
      <x:c r="AH199" s="60"/>
      <x:c r="AI199" s="60"/>
    </x:row>
    <x:row r="200" ht="45" customHeight="1">
      <x:c r="A200" s="15"/>
      <x:c r="B200" s="15"/>
      <x:c r="C200" s="15"/>
      <x:c r="D200" s="12"/>
      <x:c r="E200" s="12"/>
      <x:c r="F200" s="12"/>
      <x:c r="G200" s="12"/>
      <x:c r="H200" s="12"/>
      <x:c r="I200" s="15"/>
      <x:c r="J200" s="12"/>
      <x:c r="K200" s="12"/>
      <x:c r="L200" s="12"/>
      <x:c r="M200" s="12"/>
      <x:c r="N200" s="12"/>
      <x:c r="O200" s="13"/>
      <x:c r="P200" s="13"/>
      <x:c r="Q200" s="13"/>
      <x:c r="R200" s="13"/>
      <x:c r="S200" s="13"/>
      <x:c r="T200" s="13"/>
      <x:c r="U200" s="14"/>
      <x:c r="V200" s="14"/>
      <x:c r="W200" s="16"/>
      <x:c r="X200" s="16"/>
      <x:c r="Y200" s="14"/>
      <x:c r="Z200" s="66" t="str">
        <x:f t="shared" si="12">IF(A200="","",IF(MAX(LEN(E200),LEN(F200),LEN(G200),LEN(H200))&gt;2*MIN(LEN(E200),LEN(F200),LEN(G200),LEN(H200)),"Review answer lengths",""))</x:f>
      </x:c>
      <x:c r="AA200" s="66" t="str">
        <x:f t="shared" si="13">IF(A200="","",IF(COUNTIF($A$2:$A$301,A200)&gt;1,"Duplicate ID",IF(COUNTIF($D$2:$D$301,D200)&gt;1,"Review repeated text","")))</x:f>
      </x:c>
      <x:c r="AB200" s="66" t="str">
        <x:f t="shared" si="14">IF(A200="","","Unique string or number; no numeric range required")</x:f>
      </x:c>
      <x:c r="AC200" s="66" t="str">
        <x:f>IF(A200="","",IF(OR(B200="",D200="",E200="",F200="",G200="",H200="",J200="",K200="",L200="",M200="",O200="",P200="",AND(I200="",AG200=""),AND(B200&lt;&gt;"repair",B200&lt;&gt;"bridge",C200="")),"INCOMPLETE","CHECK ONLINE"))</x:f>
      </x:c>
      <x:c r="AD200" s="67" t="str">
        <x:f>IF(A200="","",IF(AC200="INCOMPLETE","Fill required fields including RepairSkill and an answer. See Instructions.","Copy all columns with headers to the browser validator for full schema, assets and mode checks."))</x:f>
      </x:c>
      <x:c r="AE200" s="67" t="str">
        <x:f t="shared" si="15">IF(A200="","","https://masteryquests.org/tools/question-bank-validator/")</x:f>
      </x:c>
      <x:c r="AF200" s="60"/>
      <x:c r="AH200" s="60"/>
      <x:c r="AI200" s="60"/>
    </x:row>
    <x:row r="201" ht="45" customHeight="1">
      <x:c r="A201" s="15"/>
      <x:c r="B201" s="15"/>
      <x:c r="C201" s="15"/>
      <x:c r="D201" s="12"/>
      <x:c r="E201" s="12"/>
      <x:c r="F201" s="12"/>
      <x:c r="G201" s="12"/>
      <x:c r="H201" s="12"/>
      <x:c r="I201" s="15"/>
      <x:c r="J201" s="12"/>
      <x:c r="K201" s="12"/>
      <x:c r="L201" s="12"/>
      <x:c r="M201" s="12"/>
      <x:c r="N201" s="12"/>
      <x:c r="O201" s="13"/>
      <x:c r="P201" s="13"/>
      <x:c r="Q201" s="13"/>
      <x:c r="R201" s="13"/>
      <x:c r="S201" s="13"/>
      <x:c r="T201" s="13"/>
      <x:c r="U201" s="14"/>
      <x:c r="V201" s="14"/>
      <x:c r="W201" s="16"/>
      <x:c r="X201" s="16"/>
      <x:c r="Y201" s="14"/>
      <x:c r="Z201" s="66" t="str">
        <x:f t="shared" si="12">IF(A201="","",IF(MAX(LEN(E201),LEN(F201),LEN(G201),LEN(H201))&gt;2*MIN(LEN(E201),LEN(F201),LEN(G201),LEN(H201)),"Review answer lengths",""))</x:f>
      </x:c>
      <x:c r="AA201" s="66" t="str">
        <x:f t="shared" si="13">IF(A201="","",IF(COUNTIF($A$2:$A$301,A201)&gt;1,"Duplicate ID",IF(COUNTIF($D$2:$D$301,D201)&gt;1,"Review repeated text","")))</x:f>
      </x:c>
      <x:c r="AB201" s="66" t="str">
        <x:f t="shared" si="14">IF(A201="","","Unique string or number; no numeric range required")</x:f>
      </x:c>
      <x:c r="AC201" s="66" t="str">
        <x:f>IF(A201="","",IF(OR(B201="",D201="",E201="",F201="",G201="",H201="",J201="",K201="",L201="",M201="",O201="",P201="",AND(I201="",AG201=""),AND(B201&lt;&gt;"repair",B201&lt;&gt;"bridge",C201="")),"INCOMPLETE","CHECK ONLINE"))</x:f>
      </x:c>
      <x:c r="AD201" s="67" t="str">
        <x:f>IF(A201="","",IF(AC201="INCOMPLETE","Fill required fields including RepairSkill and an answer. See Instructions.","Copy all columns with headers to the browser validator for full schema, assets and mode checks."))</x:f>
      </x:c>
      <x:c r="AE201" s="67" t="str">
        <x:f t="shared" si="15">IF(A201="","","https://masteryquests.org/tools/question-bank-validator/")</x:f>
      </x:c>
      <x:c r="AF201" s="60"/>
      <x:c r="AH201" s="60"/>
      <x:c r="AI201" s="60"/>
    </x:row>
    <x:row r="202" ht="45" customHeight="1">
      <x:c r="A202" s="15"/>
      <x:c r="B202" s="15"/>
      <x:c r="C202" s="15"/>
      <x:c r="D202" s="12"/>
      <x:c r="E202" s="12"/>
      <x:c r="F202" s="12"/>
      <x:c r="G202" s="12"/>
      <x:c r="H202" s="12"/>
      <x:c r="I202" s="15"/>
      <x:c r="J202" s="12"/>
      <x:c r="K202" s="12"/>
      <x:c r="L202" s="12"/>
      <x:c r="M202" s="12"/>
      <x:c r="N202" s="12"/>
      <x:c r="O202" s="13"/>
      <x:c r="P202" s="13"/>
      <x:c r="Q202" s="13"/>
      <x:c r="R202" s="13"/>
      <x:c r="S202" s="13"/>
      <x:c r="T202" s="13"/>
      <x:c r="U202" s="14"/>
      <x:c r="V202" s="14"/>
      <x:c r="W202" s="16"/>
      <x:c r="X202" s="16"/>
      <x:c r="Y202" s="14"/>
      <x:c r="Z202" s="66" t="str">
        <x:f t="shared" si="12">IF(A202="","",IF(MAX(LEN(E202),LEN(F202),LEN(G202),LEN(H202))&gt;2*MIN(LEN(E202),LEN(F202),LEN(G202),LEN(H202)),"Review answer lengths",""))</x:f>
      </x:c>
      <x:c r="AA202" s="66" t="str">
        <x:f t="shared" si="13">IF(A202="","",IF(COUNTIF($A$2:$A$301,A202)&gt;1,"Duplicate ID",IF(COUNTIF($D$2:$D$301,D202)&gt;1,"Review repeated text","")))</x:f>
      </x:c>
      <x:c r="AB202" s="66" t="str">
        <x:f t="shared" si="14">IF(A202="","","Unique string or number; no numeric range required")</x:f>
      </x:c>
      <x:c r="AC202" s="66" t="str">
        <x:f>IF(A202="","",IF(OR(B202="",D202="",E202="",F202="",G202="",H202="",J202="",K202="",L202="",M202="",O202="",P202="",AND(I202="",AG202=""),AND(B202&lt;&gt;"repair",B202&lt;&gt;"bridge",C202="")),"INCOMPLETE","CHECK ONLINE"))</x:f>
      </x:c>
      <x:c r="AD202" s="67" t="str">
        <x:f>IF(A202="","",IF(AC202="INCOMPLETE","Fill required fields including RepairSkill and an answer. See Instructions.","Copy all columns with headers to the browser validator for full schema, assets and mode checks."))</x:f>
      </x:c>
      <x:c r="AE202" s="67" t="str">
        <x:f t="shared" si="15">IF(A202="","","https://masteryquests.org/tools/question-bank-validator/")</x:f>
      </x:c>
      <x:c r="AF202" s="60"/>
      <x:c r="AH202" s="60"/>
      <x:c r="AI202" s="60"/>
    </x:row>
    <x:row r="203" ht="45" customHeight="1">
      <x:c r="A203" s="15"/>
      <x:c r="B203" s="15"/>
      <x:c r="C203" s="15"/>
      <x:c r="D203" s="12"/>
      <x:c r="E203" s="12"/>
      <x:c r="F203" s="12"/>
      <x:c r="G203" s="12"/>
      <x:c r="H203" s="12"/>
      <x:c r="I203" s="15"/>
      <x:c r="J203" s="12"/>
      <x:c r="K203" s="12"/>
      <x:c r="L203" s="12"/>
      <x:c r="M203" s="12"/>
      <x:c r="N203" s="12"/>
      <x:c r="O203" s="13"/>
      <x:c r="P203" s="13"/>
      <x:c r="Q203" s="13"/>
      <x:c r="R203" s="13"/>
      <x:c r="S203" s="13"/>
      <x:c r="T203" s="13"/>
      <x:c r="U203" s="14"/>
      <x:c r="V203" s="14"/>
      <x:c r="W203" s="16"/>
      <x:c r="X203" s="16"/>
      <x:c r="Y203" s="14"/>
      <x:c r="Z203" s="66" t="str">
        <x:f t="shared" si="12">IF(A203="","",IF(MAX(LEN(E203),LEN(F203),LEN(G203),LEN(H203))&gt;2*MIN(LEN(E203),LEN(F203),LEN(G203),LEN(H203)),"Review answer lengths",""))</x:f>
      </x:c>
      <x:c r="AA203" s="66" t="str">
        <x:f t="shared" si="13">IF(A203="","",IF(COUNTIF($A$2:$A$301,A203)&gt;1,"Duplicate ID",IF(COUNTIF($D$2:$D$301,D203)&gt;1,"Review repeated text","")))</x:f>
      </x:c>
      <x:c r="AB203" s="66" t="str">
        <x:f t="shared" si="14">IF(A203="","","Unique string or number; no numeric range required")</x:f>
      </x:c>
      <x:c r="AC203" s="66" t="str">
        <x:f>IF(A203="","",IF(OR(B203="",D203="",E203="",F203="",G203="",H203="",J203="",K203="",L203="",M203="",O203="",P203="",AND(I203="",AG203=""),AND(B203&lt;&gt;"repair",B203&lt;&gt;"bridge",C203="")),"INCOMPLETE","CHECK ONLINE"))</x:f>
      </x:c>
      <x:c r="AD203" s="67" t="str">
        <x:f>IF(A203="","",IF(AC203="INCOMPLETE","Fill required fields including RepairSkill and an answer. See Instructions.","Copy all columns with headers to the browser validator for full schema, assets and mode checks."))</x:f>
      </x:c>
      <x:c r="AE203" s="67" t="str">
        <x:f t="shared" si="15">IF(A203="","","https://masteryquests.org/tools/question-bank-validator/")</x:f>
      </x:c>
      <x:c r="AF203" s="60"/>
      <x:c r="AH203" s="60"/>
      <x:c r="AI203" s="60"/>
    </x:row>
    <x:row r="204" ht="45" customHeight="1">
      <x:c r="A204" s="15"/>
      <x:c r="B204" s="15"/>
      <x:c r="C204" s="15"/>
      <x:c r="D204" s="12"/>
      <x:c r="E204" s="12"/>
      <x:c r="F204" s="12"/>
      <x:c r="G204" s="12"/>
      <x:c r="H204" s="12"/>
      <x:c r="I204" s="15"/>
      <x:c r="J204" s="12"/>
      <x:c r="K204" s="12"/>
      <x:c r="L204" s="12"/>
      <x:c r="M204" s="12"/>
      <x:c r="N204" s="12"/>
      <x:c r="O204" s="13"/>
      <x:c r="P204" s="13"/>
      <x:c r="Q204" s="13"/>
      <x:c r="R204" s="13"/>
      <x:c r="S204" s="13"/>
      <x:c r="T204" s="13"/>
      <x:c r="U204" s="14"/>
      <x:c r="V204" s="14"/>
      <x:c r="W204" s="16"/>
      <x:c r="X204" s="16"/>
      <x:c r="Y204" s="14"/>
      <x:c r="Z204" s="66" t="str">
        <x:f t="shared" si="12">IF(A204="","",IF(MAX(LEN(E204),LEN(F204),LEN(G204),LEN(H204))&gt;2*MIN(LEN(E204),LEN(F204),LEN(G204),LEN(H204)),"Review answer lengths",""))</x:f>
      </x:c>
      <x:c r="AA204" s="66" t="str">
        <x:f t="shared" si="13">IF(A204="","",IF(COUNTIF($A$2:$A$301,A204)&gt;1,"Duplicate ID",IF(COUNTIF($D$2:$D$301,D204)&gt;1,"Review repeated text","")))</x:f>
      </x:c>
      <x:c r="AB204" s="66" t="str">
        <x:f t="shared" si="14">IF(A204="","","Unique string or number; no numeric range required")</x:f>
      </x:c>
      <x:c r="AC204" s="66" t="str">
        <x:f>IF(A204="","",IF(OR(B204="",D204="",E204="",F204="",G204="",H204="",J204="",K204="",L204="",M204="",O204="",P204="",AND(I204="",AG204=""),AND(B204&lt;&gt;"repair",B204&lt;&gt;"bridge",C204="")),"INCOMPLETE","CHECK ONLINE"))</x:f>
      </x:c>
      <x:c r="AD204" s="67" t="str">
        <x:f>IF(A204="","",IF(AC204="INCOMPLETE","Fill required fields including RepairSkill and an answer. See Instructions.","Copy all columns with headers to the browser validator for full schema, assets and mode checks."))</x:f>
      </x:c>
      <x:c r="AE204" s="67" t="str">
        <x:f t="shared" si="15">IF(A204="","","https://masteryquests.org/tools/question-bank-validator/")</x:f>
      </x:c>
      <x:c r="AF204" s="60"/>
      <x:c r="AH204" s="60"/>
      <x:c r="AI204" s="60"/>
    </x:row>
    <x:row r="205" ht="45" customHeight="1">
      <x:c r="A205" s="15"/>
      <x:c r="B205" s="15"/>
      <x:c r="C205" s="15"/>
      <x:c r="D205" s="12"/>
      <x:c r="E205" s="12"/>
      <x:c r="F205" s="12"/>
      <x:c r="G205" s="12"/>
      <x:c r="H205" s="12"/>
      <x:c r="I205" s="15"/>
      <x:c r="J205" s="12"/>
      <x:c r="K205" s="12"/>
      <x:c r="L205" s="12"/>
      <x:c r="M205" s="12"/>
      <x:c r="N205" s="12"/>
      <x:c r="O205" s="13"/>
      <x:c r="P205" s="13"/>
      <x:c r="Q205" s="13"/>
      <x:c r="R205" s="13"/>
      <x:c r="S205" s="13"/>
      <x:c r="T205" s="13"/>
      <x:c r="U205" s="14"/>
      <x:c r="V205" s="14"/>
      <x:c r="W205" s="16"/>
      <x:c r="X205" s="16"/>
      <x:c r="Y205" s="14"/>
      <x:c r="Z205" s="66" t="str">
        <x:f t="shared" si="12">IF(A205="","",IF(MAX(LEN(E205),LEN(F205),LEN(G205),LEN(H205))&gt;2*MIN(LEN(E205),LEN(F205),LEN(G205),LEN(H205)),"Review answer lengths",""))</x:f>
      </x:c>
      <x:c r="AA205" s="66" t="str">
        <x:f t="shared" si="13">IF(A205="","",IF(COUNTIF($A$2:$A$301,A205)&gt;1,"Duplicate ID",IF(COUNTIF($D$2:$D$301,D205)&gt;1,"Review repeated text","")))</x:f>
      </x:c>
      <x:c r="AB205" s="66" t="str">
        <x:f t="shared" si="14">IF(A205="","","Unique string or number; no numeric range required")</x:f>
      </x:c>
      <x:c r="AC205" s="66" t="str">
        <x:f>IF(A205="","",IF(OR(B205="",D205="",E205="",F205="",G205="",H205="",J205="",K205="",L205="",M205="",O205="",P205="",AND(I205="",AG205=""),AND(B205&lt;&gt;"repair",B205&lt;&gt;"bridge",C205="")),"INCOMPLETE","CHECK ONLINE"))</x:f>
      </x:c>
      <x:c r="AD205" s="67" t="str">
        <x:f>IF(A205="","",IF(AC205="INCOMPLETE","Fill required fields including RepairSkill and an answer. See Instructions.","Copy all columns with headers to the browser validator for full schema, assets and mode checks."))</x:f>
      </x:c>
      <x:c r="AE205" s="67" t="str">
        <x:f t="shared" si="15">IF(A205="","","https://masteryquests.org/tools/question-bank-validator/")</x:f>
      </x:c>
      <x:c r="AF205" s="60"/>
      <x:c r="AH205" s="60"/>
      <x:c r="AI205" s="60"/>
    </x:row>
    <x:row r="206" ht="45" customHeight="1">
      <x:c r="A206" s="15"/>
      <x:c r="B206" s="15"/>
      <x:c r="C206" s="15"/>
      <x:c r="D206" s="12"/>
      <x:c r="E206" s="12"/>
      <x:c r="F206" s="12"/>
      <x:c r="G206" s="12"/>
      <x:c r="H206" s="12"/>
      <x:c r="I206" s="15"/>
      <x:c r="J206" s="12"/>
      <x:c r="K206" s="12"/>
      <x:c r="L206" s="12"/>
      <x:c r="M206" s="12"/>
      <x:c r="N206" s="12"/>
      <x:c r="O206" s="13"/>
      <x:c r="P206" s="13"/>
      <x:c r="Q206" s="13"/>
      <x:c r="R206" s="13"/>
      <x:c r="S206" s="13"/>
      <x:c r="T206" s="13"/>
      <x:c r="U206" s="14"/>
      <x:c r="V206" s="14"/>
      <x:c r="W206" s="16"/>
      <x:c r="X206" s="16"/>
      <x:c r="Y206" s="14"/>
      <x:c r="Z206" s="66" t="str">
        <x:f t="shared" si="12">IF(A206="","",IF(MAX(LEN(E206),LEN(F206),LEN(G206),LEN(H206))&gt;2*MIN(LEN(E206),LEN(F206),LEN(G206),LEN(H206)),"Review answer lengths",""))</x:f>
      </x:c>
      <x:c r="AA206" s="66" t="str">
        <x:f t="shared" si="13">IF(A206="","",IF(COUNTIF($A$2:$A$301,A206)&gt;1,"Duplicate ID",IF(COUNTIF($D$2:$D$301,D206)&gt;1,"Review repeated text","")))</x:f>
      </x:c>
      <x:c r="AB206" s="66" t="str">
        <x:f t="shared" si="14">IF(A206="","","Unique string or number; no numeric range required")</x:f>
      </x:c>
      <x:c r="AC206" s="66" t="str">
        <x:f>IF(A206="","",IF(OR(B206="",D206="",E206="",F206="",G206="",H206="",J206="",K206="",L206="",M206="",O206="",P206="",AND(I206="",AG206=""),AND(B206&lt;&gt;"repair",B206&lt;&gt;"bridge",C206="")),"INCOMPLETE","CHECK ONLINE"))</x:f>
      </x:c>
      <x:c r="AD206" s="67" t="str">
        <x:f>IF(A206="","",IF(AC206="INCOMPLETE","Fill required fields including RepairSkill and an answer. See Instructions.","Copy all columns with headers to the browser validator for full schema, assets and mode checks."))</x:f>
      </x:c>
      <x:c r="AE206" s="67" t="str">
        <x:f t="shared" si="15">IF(A206="","","https://masteryquests.org/tools/question-bank-validator/")</x:f>
      </x:c>
      <x:c r="AF206" s="60"/>
      <x:c r="AH206" s="60"/>
      <x:c r="AI206" s="60"/>
    </x:row>
    <x:row r="207" ht="45" customHeight="1">
      <x:c r="A207" s="15"/>
      <x:c r="B207" s="15"/>
      <x:c r="C207" s="15"/>
      <x:c r="D207" s="12"/>
      <x:c r="E207" s="12"/>
      <x:c r="F207" s="12"/>
      <x:c r="G207" s="12"/>
      <x:c r="H207" s="12"/>
      <x:c r="I207" s="15"/>
      <x:c r="J207" s="12"/>
      <x:c r="K207" s="12"/>
      <x:c r="L207" s="12"/>
      <x:c r="M207" s="12"/>
      <x:c r="N207" s="12"/>
      <x:c r="O207" s="13"/>
      <x:c r="P207" s="13"/>
      <x:c r="Q207" s="13"/>
      <x:c r="R207" s="13"/>
      <x:c r="S207" s="13"/>
      <x:c r="T207" s="13"/>
      <x:c r="U207" s="14"/>
      <x:c r="V207" s="14"/>
      <x:c r="W207" s="16"/>
      <x:c r="X207" s="16"/>
      <x:c r="Y207" s="14"/>
      <x:c r="Z207" s="66" t="str">
        <x:f t="shared" si="12">IF(A207="","",IF(MAX(LEN(E207),LEN(F207),LEN(G207),LEN(H207))&gt;2*MIN(LEN(E207),LEN(F207),LEN(G207),LEN(H207)),"Review answer lengths",""))</x:f>
      </x:c>
      <x:c r="AA207" s="66" t="str">
        <x:f t="shared" si="13">IF(A207="","",IF(COUNTIF($A$2:$A$301,A207)&gt;1,"Duplicate ID",IF(COUNTIF($D$2:$D$301,D207)&gt;1,"Review repeated text","")))</x:f>
      </x:c>
      <x:c r="AB207" s="66" t="str">
        <x:f t="shared" si="14">IF(A207="","","Unique string or number; no numeric range required")</x:f>
      </x:c>
      <x:c r="AC207" s="66" t="str">
        <x:f>IF(A207="","",IF(OR(B207="",D207="",E207="",F207="",G207="",H207="",J207="",K207="",L207="",M207="",O207="",P207="",AND(I207="",AG207=""),AND(B207&lt;&gt;"repair",B207&lt;&gt;"bridge",C207="")),"INCOMPLETE","CHECK ONLINE"))</x:f>
      </x:c>
      <x:c r="AD207" s="67" t="str">
        <x:f>IF(A207="","",IF(AC207="INCOMPLETE","Fill required fields including RepairSkill and an answer. See Instructions.","Copy all columns with headers to the browser validator for full schema, assets and mode checks."))</x:f>
      </x:c>
      <x:c r="AE207" s="67" t="str">
        <x:f t="shared" si="15">IF(A207="","","https://masteryquests.org/tools/question-bank-validator/")</x:f>
      </x:c>
      <x:c r="AF207" s="60"/>
      <x:c r="AH207" s="60"/>
      <x:c r="AI207" s="60"/>
    </x:row>
    <x:row r="208" ht="45" customHeight="1">
      <x:c r="A208" s="15"/>
      <x:c r="B208" s="15"/>
      <x:c r="C208" s="15"/>
      <x:c r="D208" s="12"/>
      <x:c r="E208" s="12"/>
      <x:c r="F208" s="12"/>
      <x:c r="G208" s="12"/>
      <x:c r="H208" s="12"/>
      <x:c r="I208" s="15"/>
      <x:c r="J208" s="12"/>
      <x:c r="K208" s="12"/>
      <x:c r="L208" s="12"/>
      <x:c r="M208" s="12"/>
      <x:c r="N208" s="12"/>
      <x:c r="O208" s="13"/>
      <x:c r="P208" s="13"/>
      <x:c r="Q208" s="13"/>
      <x:c r="R208" s="13"/>
      <x:c r="S208" s="13"/>
      <x:c r="T208" s="13"/>
      <x:c r="U208" s="14"/>
      <x:c r="V208" s="14"/>
      <x:c r="W208" s="16"/>
      <x:c r="X208" s="16"/>
      <x:c r="Y208" s="14"/>
      <x:c r="Z208" s="66" t="str">
        <x:f t="shared" si="12">IF(A208="","",IF(MAX(LEN(E208),LEN(F208),LEN(G208),LEN(H208))&gt;2*MIN(LEN(E208),LEN(F208),LEN(G208),LEN(H208)),"Review answer lengths",""))</x:f>
      </x:c>
      <x:c r="AA208" s="66" t="str">
        <x:f t="shared" si="13">IF(A208="","",IF(COUNTIF($A$2:$A$301,A208)&gt;1,"Duplicate ID",IF(COUNTIF($D$2:$D$301,D208)&gt;1,"Review repeated text","")))</x:f>
      </x:c>
      <x:c r="AB208" s="66" t="str">
        <x:f t="shared" si="14">IF(A208="","","Unique string or number; no numeric range required")</x:f>
      </x:c>
      <x:c r="AC208" s="66" t="str">
        <x:f>IF(A208="","",IF(OR(B208="",D208="",E208="",F208="",G208="",H208="",J208="",K208="",L208="",M208="",O208="",P208="",AND(I208="",AG208=""),AND(B208&lt;&gt;"repair",B208&lt;&gt;"bridge",C208="")),"INCOMPLETE","CHECK ONLINE"))</x:f>
      </x:c>
      <x:c r="AD208" s="67" t="str">
        <x:f>IF(A208="","",IF(AC208="INCOMPLETE","Fill required fields including RepairSkill and an answer. See Instructions.","Copy all columns with headers to the browser validator for full schema, assets and mode checks."))</x:f>
      </x:c>
      <x:c r="AE208" s="67" t="str">
        <x:f t="shared" si="15">IF(A208="","","https://masteryquests.org/tools/question-bank-validator/")</x:f>
      </x:c>
      <x:c r="AF208" s="60"/>
      <x:c r="AH208" s="60"/>
      <x:c r="AI208" s="60"/>
    </x:row>
    <x:row r="209" ht="45" customHeight="1">
      <x:c r="A209" s="15"/>
      <x:c r="B209" s="15"/>
      <x:c r="C209" s="15"/>
      <x:c r="D209" s="12"/>
      <x:c r="E209" s="12"/>
      <x:c r="F209" s="12"/>
      <x:c r="G209" s="12"/>
      <x:c r="H209" s="12"/>
      <x:c r="I209" s="15"/>
      <x:c r="J209" s="12"/>
      <x:c r="K209" s="12"/>
      <x:c r="L209" s="12"/>
      <x:c r="M209" s="12"/>
      <x:c r="N209" s="12"/>
      <x:c r="O209" s="13"/>
      <x:c r="P209" s="13"/>
      <x:c r="Q209" s="13"/>
      <x:c r="R209" s="13"/>
      <x:c r="S209" s="13"/>
      <x:c r="T209" s="13"/>
      <x:c r="U209" s="14"/>
      <x:c r="V209" s="14"/>
      <x:c r="W209" s="16"/>
      <x:c r="X209" s="16"/>
      <x:c r="Y209" s="14"/>
      <x:c r="Z209" s="66" t="str">
        <x:f t="shared" si="12">IF(A209="","",IF(MAX(LEN(E209),LEN(F209),LEN(G209),LEN(H209))&gt;2*MIN(LEN(E209),LEN(F209),LEN(G209),LEN(H209)),"Review answer lengths",""))</x:f>
      </x:c>
      <x:c r="AA209" s="66" t="str">
        <x:f t="shared" si="13">IF(A209="","",IF(COUNTIF($A$2:$A$301,A209)&gt;1,"Duplicate ID",IF(COUNTIF($D$2:$D$301,D209)&gt;1,"Review repeated text","")))</x:f>
      </x:c>
      <x:c r="AB209" s="66" t="str">
        <x:f t="shared" si="14">IF(A209="","","Unique string or number; no numeric range required")</x:f>
      </x:c>
      <x:c r="AC209" s="66" t="str">
        <x:f>IF(A209="","",IF(OR(B209="",D209="",E209="",F209="",G209="",H209="",J209="",K209="",L209="",M209="",O209="",P209="",AND(I209="",AG209=""),AND(B209&lt;&gt;"repair",B209&lt;&gt;"bridge",C209="")),"INCOMPLETE","CHECK ONLINE"))</x:f>
      </x:c>
      <x:c r="AD209" s="67" t="str">
        <x:f>IF(A209="","",IF(AC209="INCOMPLETE","Fill required fields including RepairSkill and an answer. See Instructions.","Copy all columns with headers to the browser validator for full schema, assets and mode checks."))</x:f>
      </x:c>
      <x:c r="AE209" s="67" t="str">
        <x:f t="shared" si="15">IF(A209="","","https://masteryquests.org/tools/question-bank-validator/")</x:f>
      </x:c>
      <x:c r="AF209" s="60"/>
      <x:c r="AH209" s="60"/>
      <x:c r="AI209" s="60"/>
    </x:row>
    <x:row r="210" ht="45" customHeight="1">
      <x:c r="A210" s="15"/>
      <x:c r="B210" s="15"/>
      <x:c r="C210" s="15"/>
      <x:c r="D210" s="12"/>
      <x:c r="E210" s="12"/>
      <x:c r="F210" s="12"/>
      <x:c r="G210" s="12"/>
      <x:c r="H210" s="12"/>
      <x:c r="I210" s="15"/>
      <x:c r="J210" s="12"/>
      <x:c r="K210" s="12"/>
      <x:c r="L210" s="12"/>
      <x:c r="M210" s="12"/>
      <x:c r="N210" s="12"/>
      <x:c r="O210" s="13"/>
      <x:c r="P210" s="13"/>
      <x:c r="Q210" s="13"/>
      <x:c r="R210" s="13"/>
      <x:c r="S210" s="13"/>
      <x:c r="T210" s="13"/>
      <x:c r="U210" s="14"/>
      <x:c r="V210" s="14"/>
      <x:c r="W210" s="16"/>
      <x:c r="X210" s="16"/>
      <x:c r="Y210" s="14"/>
      <x:c r="Z210" s="66" t="str">
        <x:f t="shared" si="12">IF(A210="","",IF(MAX(LEN(E210),LEN(F210),LEN(G210),LEN(H210))&gt;2*MIN(LEN(E210),LEN(F210),LEN(G210),LEN(H210)),"Review answer lengths",""))</x:f>
      </x:c>
      <x:c r="AA210" s="66" t="str">
        <x:f t="shared" si="13">IF(A210="","",IF(COUNTIF($A$2:$A$301,A210)&gt;1,"Duplicate ID",IF(COUNTIF($D$2:$D$301,D210)&gt;1,"Review repeated text","")))</x:f>
      </x:c>
      <x:c r="AB210" s="66" t="str">
        <x:f t="shared" si="14">IF(A210="","","Unique string or number; no numeric range required")</x:f>
      </x:c>
      <x:c r="AC210" s="66" t="str">
        <x:f>IF(A210="","",IF(OR(B210="",D210="",E210="",F210="",G210="",H210="",J210="",K210="",L210="",M210="",O210="",P210="",AND(I210="",AG210=""),AND(B210&lt;&gt;"repair",B210&lt;&gt;"bridge",C210="")),"INCOMPLETE","CHECK ONLINE"))</x:f>
      </x:c>
      <x:c r="AD210" s="67" t="str">
        <x:f>IF(A210="","",IF(AC210="INCOMPLETE","Fill required fields including RepairSkill and an answer. See Instructions.","Copy all columns with headers to the browser validator for full schema, assets and mode checks."))</x:f>
      </x:c>
      <x:c r="AE210" s="67" t="str">
        <x:f t="shared" si="15">IF(A210="","","https://masteryquests.org/tools/question-bank-validator/")</x:f>
      </x:c>
      <x:c r="AF210" s="60"/>
      <x:c r="AH210" s="60"/>
      <x:c r="AI210" s="60"/>
    </x:row>
    <x:row r="211" ht="45" customHeight="1">
      <x:c r="A211" s="15"/>
      <x:c r="B211" s="15"/>
      <x:c r="C211" s="15"/>
      <x:c r="D211" s="12"/>
      <x:c r="E211" s="12"/>
      <x:c r="F211" s="12"/>
      <x:c r="G211" s="12"/>
      <x:c r="H211" s="12"/>
      <x:c r="I211" s="15"/>
      <x:c r="J211" s="12"/>
      <x:c r="K211" s="12"/>
      <x:c r="L211" s="12"/>
      <x:c r="M211" s="12"/>
      <x:c r="N211" s="12"/>
      <x:c r="O211" s="13"/>
      <x:c r="P211" s="13"/>
      <x:c r="Q211" s="13"/>
      <x:c r="R211" s="13"/>
      <x:c r="S211" s="13"/>
      <x:c r="T211" s="13"/>
      <x:c r="U211" s="14"/>
      <x:c r="V211" s="14"/>
      <x:c r="W211" s="16"/>
      <x:c r="X211" s="16"/>
      <x:c r="Y211" s="14"/>
      <x:c r="Z211" s="66" t="str">
        <x:f t="shared" si="12">IF(A211="","",IF(MAX(LEN(E211),LEN(F211),LEN(G211),LEN(H211))&gt;2*MIN(LEN(E211),LEN(F211),LEN(G211),LEN(H211)),"Review answer lengths",""))</x:f>
      </x:c>
      <x:c r="AA211" s="66" t="str">
        <x:f t="shared" si="13">IF(A211="","",IF(COUNTIF($A$2:$A$301,A211)&gt;1,"Duplicate ID",IF(COUNTIF($D$2:$D$301,D211)&gt;1,"Review repeated text","")))</x:f>
      </x:c>
      <x:c r="AB211" s="66" t="str">
        <x:f t="shared" si="14">IF(A211="","","Unique string or number; no numeric range required")</x:f>
      </x:c>
      <x:c r="AC211" s="66" t="str">
        <x:f>IF(A211="","",IF(OR(B211="",D211="",E211="",F211="",G211="",H211="",J211="",K211="",L211="",M211="",O211="",P211="",AND(I211="",AG211=""),AND(B211&lt;&gt;"repair",B211&lt;&gt;"bridge",C211="")),"INCOMPLETE","CHECK ONLINE"))</x:f>
      </x:c>
      <x:c r="AD211" s="67" t="str">
        <x:f>IF(A211="","",IF(AC211="INCOMPLETE","Fill required fields including RepairSkill and an answer. See Instructions.","Copy all columns with headers to the browser validator for full schema, assets and mode checks."))</x:f>
      </x:c>
      <x:c r="AE211" s="67" t="str">
        <x:f t="shared" si="15">IF(A211="","","https://masteryquests.org/tools/question-bank-validator/")</x:f>
      </x:c>
      <x:c r="AF211" s="60"/>
      <x:c r="AH211" s="60"/>
      <x:c r="AI211" s="60"/>
    </x:row>
    <x:row r="212" ht="45" customHeight="1">
      <x:c r="A212" s="15"/>
      <x:c r="B212" s="15"/>
      <x:c r="C212" s="15"/>
      <x:c r="D212" s="12"/>
      <x:c r="E212" s="12"/>
      <x:c r="F212" s="12"/>
      <x:c r="G212" s="12"/>
      <x:c r="H212" s="12"/>
      <x:c r="I212" s="15"/>
      <x:c r="J212" s="12"/>
      <x:c r="K212" s="12"/>
      <x:c r="L212" s="12"/>
      <x:c r="M212" s="12"/>
      <x:c r="N212" s="12"/>
      <x:c r="O212" s="13"/>
      <x:c r="P212" s="13"/>
      <x:c r="Q212" s="13"/>
      <x:c r="R212" s="13"/>
      <x:c r="S212" s="13"/>
      <x:c r="T212" s="13"/>
      <x:c r="U212" s="14"/>
      <x:c r="V212" s="14"/>
      <x:c r="W212" s="16"/>
      <x:c r="X212" s="16"/>
      <x:c r="Y212" s="14"/>
      <x:c r="Z212" s="66" t="str">
        <x:f t="shared" si="12">IF(A212="","",IF(MAX(LEN(E212),LEN(F212),LEN(G212),LEN(H212))&gt;2*MIN(LEN(E212),LEN(F212),LEN(G212),LEN(H212)),"Review answer lengths",""))</x:f>
      </x:c>
      <x:c r="AA212" s="66" t="str">
        <x:f t="shared" si="13">IF(A212="","",IF(COUNTIF($A$2:$A$301,A212)&gt;1,"Duplicate ID",IF(COUNTIF($D$2:$D$301,D212)&gt;1,"Review repeated text","")))</x:f>
      </x:c>
      <x:c r="AB212" s="66" t="str">
        <x:f t="shared" si="14">IF(A212="","","Unique string or number; no numeric range required")</x:f>
      </x:c>
      <x:c r="AC212" s="66" t="str">
        <x:f>IF(A212="","",IF(OR(B212="",D212="",E212="",F212="",G212="",H212="",J212="",K212="",L212="",M212="",O212="",P212="",AND(I212="",AG212=""),AND(B212&lt;&gt;"repair",B212&lt;&gt;"bridge",C212="")),"INCOMPLETE","CHECK ONLINE"))</x:f>
      </x:c>
      <x:c r="AD212" s="67" t="str">
        <x:f>IF(A212="","",IF(AC212="INCOMPLETE","Fill required fields including RepairSkill and an answer. See Instructions.","Copy all columns with headers to the browser validator for full schema, assets and mode checks."))</x:f>
      </x:c>
      <x:c r="AE212" s="67" t="str">
        <x:f t="shared" si="15">IF(A212="","","https://masteryquests.org/tools/question-bank-validator/")</x:f>
      </x:c>
      <x:c r="AF212" s="60"/>
      <x:c r="AH212" s="60"/>
      <x:c r="AI212" s="60"/>
    </x:row>
    <x:row r="213" ht="45" customHeight="1">
      <x:c r="A213" s="15"/>
      <x:c r="B213" s="15"/>
      <x:c r="C213" s="15"/>
      <x:c r="D213" s="12"/>
      <x:c r="E213" s="12"/>
      <x:c r="F213" s="12"/>
      <x:c r="G213" s="12"/>
      <x:c r="H213" s="12"/>
      <x:c r="I213" s="15"/>
      <x:c r="J213" s="12"/>
      <x:c r="K213" s="12"/>
      <x:c r="L213" s="12"/>
      <x:c r="M213" s="12"/>
      <x:c r="N213" s="12"/>
      <x:c r="O213" s="13"/>
      <x:c r="P213" s="13"/>
      <x:c r="Q213" s="13"/>
      <x:c r="R213" s="13"/>
      <x:c r="S213" s="13"/>
      <x:c r="T213" s="13"/>
      <x:c r="U213" s="14"/>
      <x:c r="V213" s="14"/>
      <x:c r="W213" s="16"/>
      <x:c r="X213" s="16"/>
      <x:c r="Y213" s="14"/>
      <x:c r="Z213" s="66" t="str">
        <x:f t="shared" si="12">IF(A213="","",IF(MAX(LEN(E213),LEN(F213),LEN(G213),LEN(H213))&gt;2*MIN(LEN(E213),LEN(F213),LEN(G213),LEN(H213)),"Review answer lengths",""))</x:f>
      </x:c>
      <x:c r="AA213" s="66" t="str">
        <x:f t="shared" si="13">IF(A213="","",IF(COUNTIF($A$2:$A$301,A213)&gt;1,"Duplicate ID",IF(COUNTIF($D$2:$D$301,D213)&gt;1,"Review repeated text","")))</x:f>
      </x:c>
      <x:c r="AB213" s="66" t="str">
        <x:f t="shared" si="14">IF(A213="","","Unique string or number; no numeric range required")</x:f>
      </x:c>
      <x:c r="AC213" s="66" t="str">
        <x:f>IF(A213="","",IF(OR(B213="",D213="",E213="",F213="",G213="",H213="",J213="",K213="",L213="",M213="",O213="",P213="",AND(I213="",AG213=""),AND(B213&lt;&gt;"repair",B213&lt;&gt;"bridge",C213="")),"INCOMPLETE","CHECK ONLINE"))</x:f>
      </x:c>
      <x:c r="AD213" s="67" t="str">
        <x:f>IF(A213="","",IF(AC213="INCOMPLETE","Fill required fields including RepairSkill and an answer. See Instructions.","Copy all columns with headers to the browser validator for full schema, assets and mode checks."))</x:f>
      </x:c>
      <x:c r="AE213" s="67" t="str">
        <x:f t="shared" si="15">IF(A213="","","https://masteryquests.org/tools/question-bank-validator/")</x:f>
      </x:c>
      <x:c r="AF213" s="60"/>
      <x:c r="AH213" s="60"/>
      <x:c r="AI213" s="60"/>
    </x:row>
    <x:row r="214" ht="45" customHeight="1">
      <x:c r="A214" s="15"/>
      <x:c r="B214" s="15"/>
      <x:c r="C214" s="15"/>
      <x:c r="D214" s="12"/>
      <x:c r="E214" s="12"/>
      <x:c r="F214" s="12"/>
      <x:c r="G214" s="12"/>
      <x:c r="H214" s="12"/>
      <x:c r="I214" s="15"/>
      <x:c r="J214" s="12"/>
      <x:c r="K214" s="12"/>
      <x:c r="L214" s="12"/>
      <x:c r="M214" s="12"/>
      <x:c r="N214" s="12"/>
      <x:c r="O214" s="13"/>
      <x:c r="P214" s="13"/>
      <x:c r="Q214" s="13"/>
      <x:c r="R214" s="13"/>
      <x:c r="S214" s="13"/>
      <x:c r="T214" s="13"/>
      <x:c r="U214" s="14"/>
      <x:c r="V214" s="14"/>
      <x:c r="W214" s="16"/>
      <x:c r="X214" s="16"/>
      <x:c r="Y214" s="14"/>
      <x:c r="Z214" s="66" t="str">
        <x:f t="shared" si="12">IF(A214="","",IF(MAX(LEN(E214),LEN(F214),LEN(G214),LEN(H214))&gt;2*MIN(LEN(E214),LEN(F214),LEN(G214),LEN(H214)),"Review answer lengths",""))</x:f>
      </x:c>
      <x:c r="AA214" s="66" t="str">
        <x:f t="shared" si="13">IF(A214="","",IF(COUNTIF($A$2:$A$301,A214)&gt;1,"Duplicate ID",IF(COUNTIF($D$2:$D$301,D214)&gt;1,"Review repeated text","")))</x:f>
      </x:c>
      <x:c r="AB214" s="66" t="str">
        <x:f t="shared" si="14">IF(A214="","","Unique string or number; no numeric range required")</x:f>
      </x:c>
      <x:c r="AC214" s="66" t="str">
        <x:f>IF(A214="","",IF(OR(B214="",D214="",E214="",F214="",G214="",H214="",J214="",K214="",L214="",M214="",O214="",P214="",AND(I214="",AG214=""),AND(B214&lt;&gt;"repair",B214&lt;&gt;"bridge",C214="")),"INCOMPLETE","CHECK ONLINE"))</x:f>
      </x:c>
      <x:c r="AD214" s="67" t="str">
        <x:f>IF(A214="","",IF(AC214="INCOMPLETE","Fill required fields including RepairSkill and an answer. See Instructions.","Copy all columns with headers to the browser validator for full schema, assets and mode checks."))</x:f>
      </x:c>
      <x:c r="AE214" s="67" t="str">
        <x:f t="shared" si="15">IF(A214="","","https://masteryquests.org/tools/question-bank-validator/")</x:f>
      </x:c>
      <x:c r="AF214" s="60"/>
      <x:c r="AH214" s="60"/>
      <x:c r="AI214" s="60"/>
    </x:row>
    <x:row r="215" ht="45" customHeight="1">
      <x:c r="A215" s="15"/>
      <x:c r="B215" s="15"/>
      <x:c r="C215" s="15"/>
      <x:c r="D215" s="12"/>
      <x:c r="E215" s="12"/>
      <x:c r="F215" s="12"/>
      <x:c r="G215" s="12"/>
      <x:c r="H215" s="12"/>
      <x:c r="I215" s="15"/>
      <x:c r="J215" s="12"/>
      <x:c r="K215" s="12"/>
      <x:c r="L215" s="12"/>
      <x:c r="M215" s="12"/>
      <x:c r="N215" s="12"/>
      <x:c r="O215" s="13"/>
      <x:c r="P215" s="13"/>
      <x:c r="Q215" s="13"/>
      <x:c r="R215" s="13"/>
      <x:c r="S215" s="13"/>
      <x:c r="T215" s="13"/>
      <x:c r="U215" s="14"/>
      <x:c r="V215" s="14"/>
      <x:c r="W215" s="16"/>
      <x:c r="X215" s="16"/>
      <x:c r="Y215" s="14"/>
      <x:c r="Z215" s="66" t="str">
        <x:f t="shared" si="12">IF(A215="","",IF(MAX(LEN(E215),LEN(F215),LEN(G215),LEN(H215))&gt;2*MIN(LEN(E215),LEN(F215),LEN(G215),LEN(H215)),"Review answer lengths",""))</x:f>
      </x:c>
      <x:c r="AA215" s="66" t="str">
        <x:f t="shared" si="13">IF(A215="","",IF(COUNTIF($A$2:$A$301,A215)&gt;1,"Duplicate ID",IF(COUNTIF($D$2:$D$301,D215)&gt;1,"Review repeated text","")))</x:f>
      </x:c>
      <x:c r="AB215" s="66" t="str">
        <x:f t="shared" si="14">IF(A215="","","Unique string or number; no numeric range required")</x:f>
      </x:c>
      <x:c r="AC215" s="66" t="str">
        <x:f>IF(A215="","",IF(OR(B215="",D215="",E215="",F215="",G215="",H215="",J215="",K215="",L215="",M215="",O215="",P215="",AND(I215="",AG215=""),AND(B215&lt;&gt;"repair",B215&lt;&gt;"bridge",C215="")),"INCOMPLETE","CHECK ONLINE"))</x:f>
      </x:c>
      <x:c r="AD215" s="67" t="str">
        <x:f>IF(A215="","",IF(AC215="INCOMPLETE","Fill required fields including RepairSkill and an answer. See Instructions.","Copy all columns with headers to the browser validator for full schema, assets and mode checks."))</x:f>
      </x:c>
      <x:c r="AE215" s="67" t="str">
        <x:f t="shared" si="15">IF(A215="","","https://masteryquests.org/tools/question-bank-validator/")</x:f>
      </x:c>
      <x:c r="AF215" s="60"/>
      <x:c r="AH215" s="60"/>
      <x:c r="AI215" s="60"/>
    </x:row>
    <x:row r="216" ht="45" customHeight="1">
      <x:c r="A216" s="15"/>
      <x:c r="B216" s="15"/>
      <x:c r="C216" s="15"/>
      <x:c r="D216" s="12"/>
      <x:c r="E216" s="12"/>
      <x:c r="F216" s="12"/>
      <x:c r="G216" s="12"/>
      <x:c r="H216" s="12"/>
      <x:c r="I216" s="15"/>
      <x:c r="J216" s="12"/>
      <x:c r="K216" s="12"/>
      <x:c r="L216" s="12"/>
      <x:c r="M216" s="12"/>
      <x:c r="N216" s="12"/>
      <x:c r="O216" s="13"/>
      <x:c r="P216" s="13"/>
      <x:c r="Q216" s="13"/>
      <x:c r="R216" s="13"/>
      <x:c r="S216" s="13"/>
      <x:c r="T216" s="13"/>
      <x:c r="U216" s="14"/>
      <x:c r="V216" s="14"/>
      <x:c r="W216" s="16"/>
      <x:c r="X216" s="16"/>
      <x:c r="Y216" s="14"/>
      <x:c r="Z216" s="66" t="str">
        <x:f t="shared" si="12">IF(A216="","",IF(MAX(LEN(E216),LEN(F216),LEN(G216),LEN(H216))&gt;2*MIN(LEN(E216),LEN(F216),LEN(G216),LEN(H216)),"Review answer lengths",""))</x:f>
      </x:c>
      <x:c r="AA216" s="66" t="str">
        <x:f t="shared" si="13">IF(A216="","",IF(COUNTIF($A$2:$A$301,A216)&gt;1,"Duplicate ID",IF(COUNTIF($D$2:$D$301,D216)&gt;1,"Review repeated text","")))</x:f>
      </x:c>
      <x:c r="AB216" s="66" t="str">
        <x:f t="shared" si="14">IF(A216="","","Unique string or number; no numeric range required")</x:f>
      </x:c>
      <x:c r="AC216" s="66" t="str">
        <x:f>IF(A216="","",IF(OR(B216="",D216="",E216="",F216="",G216="",H216="",J216="",K216="",L216="",M216="",O216="",P216="",AND(I216="",AG216=""),AND(B216&lt;&gt;"repair",B216&lt;&gt;"bridge",C216="")),"INCOMPLETE","CHECK ONLINE"))</x:f>
      </x:c>
      <x:c r="AD216" s="67" t="str">
        <x:f>IF(A216="","",IF(AC216="INCOMPLETE","Fill required fields including RepairSkill and an answer. See Instructions.","Copy all columns with headers to the browser validator for full schema, assets and mode checks."))</x:f>
      </x:c>
      <x:c r="AE216" s="67" t="str">
        <x:f t="shared" si="15">IF(A216="","","https://masteryquests.org/tools/question-bank-validator/")</x:f>
      </x:c>
      <x:c r="AF216" s="60"/>
      <x:c r="AH216" s="60"/>
      <x:c r="AI216" s="60"/>
    </x:row>
    <x:row r="217" ht="45" customHeight="1">
      <x:c r="A217" s="15"/>
      <x:c r="B217" s="15"/>
      <x:c r="C217" s="15"/>
      <x:c r="D217" s="12"/>
      <x:c r="E217" s="12"/>
      <x:c r="F217" s="12"/>
      <x:c r="G217" s="12"/>
      <x:c r="H217" s="12"/>
      <x:c r="I217" s="15"/>
      <x:c r="J217" s="12"/>
      <x:c r="K217" s="12"/>
      <x:c r="L217" s="12"/>
      <x:c r="M217" s="12"/>
      <x:c r="N217" s="12"/>
      <x:c r="O217" s="13"/>
      <x:c r="P217" s="13"/>
      <x:c r="Q217" s="13"/>
      <x:c r="R217" s="13"/>
      <x:c r="S217" s="13"/>
      <x:c r="T217" s="13"/>
      <x:c r="U217" s="14"/>
      <x:c r="V217" s="14"/>
      <x:c r="W217" s="16"/>
      <x:c r="X217" s="16"/>
      <x:c r="Y217" s="14"/>
      <x:c r="Z217" s="66" t="str">
        <x:f t="shared" si="12">IF(A217="","",IF(MAX(LEN(E217),LEN(F217),LEN(G217),LEN(H217))&gt;2*MIN(LEN(E217),LEN(F217),LEN(G217),LEN(H217)),"Review answer lengths",""))</x:f>
      </x:c>
      <x:c r="AA217" s="66" t="str">
        <x:f t="shared" si="13">IF(A217="","",IF(COUNTIF($A$2:$A$301,A217)&gt;1,"Duplicate ID",IF(COUNTIF($D$2:$D$301,D217)&gt;1,"Review repeated text","")))</x:f>
      </x:c>
      <x:c r="AB217" s="66" t="str">
        <x:f t="shared" si="14">IF(A217="","","Unique string or number; no numeric range required")</x:f>
      </x:c>
      <x:c r="AC217" s="66" t="str">
        <x:f>IF(A217="","",IF(OR(B217="",D217="",E217="",F217="",G217="",H217="",J217="",K217="",L217="",M217="",O217="",P217="",AND(I217="",AG217=""),AND(B217&lt;&gt;"repair",B217&lt;&gt;"bridge",C217="")),"INCOMPLETE","CHECK ONLINE"))</x:f>
      </x:c>
      <x:c r="AD217" s="67" t="str">
        <x:f>IF(A217="","",IF(AC217="INCOMPLETE","Fill required fields including RepairSkill and an answer. See Instructions.","Copy all columns with headers to the browser validator for full schema, assets and mode checks."))</x:f>
      </x:c>
      <x:c r="AE217" s="67" t="str">
        <x:f t="shared" si="15">IF(A217="","","https://masteryquests.org/tools/question-bank-validator/")</x:f>
      </x:c>
      <x:c r="AF217" s="60"/>
      <x:c r="AH217" s="60"/>
      <x:c r="AI217" s="60"/>
    </x:row>
    <x:row r="218" ht="45" customHeight="1">
      <x:c r="A218" s="15"/>
      <x:c r="B218" s="15"/>
      <x:c r="C218" s="15"/>
      <x:c r="D218" s="12"/>
      <x:c r="E218" s="12"/>
      <x:c r="F218" s="12"/>
      <x:c r="G218" s="12"/>
      <x:c r="H218" s="12"/>
      <x:c r="I218" s="15"/>
      <x:c r="J218" s="12"/>
      <x:c r="K218" s="12"/>
      <x:c r="L218" s="12"/>
      <x:c r="M218" s="12"/>
      <x:c r="N218" s="12"/>
      <x:c r="O218" s="13"/>
      <x:c r="P218" s="13"/>
      <x:c r="Q218" s="13"/>
      <x:c r="R218" s="13"/>
      <x:c r="S218" s="13"/>
      <x:c r="T218" s="13"/>
      <x:c r="U218" s="14"/>
      <x:c r="V218" s="14"/>
      <x:c r="W218" s="16"/>
      <x:c r="X218" s="16"/>
      <x:c r="Y218" s="14"/>
      <x:c r="Z218" s="66" t="str">
        <x:f t="shared" si="12">IF(A218="","",IF(MAX(LEN(E218),LEN(F218),LEN(G218),LEN(H218))&gt;2*MIN(LEN(E218),LEN(F218),LEN(G218),LEN(H218)),"Review answer lengths",""))</x:f>
      </x:c>
      <x:c r="AA218" s="66" t="str">
        <x:f t="shared" si="13">IF(A218="","",IF(COUNTIF($A$2:$A$301,A218)&gt;1,"Duplicate ID",IF(COUNTIF($D$2:$D$301,D218)&gt;1,"Review repeated text","")))</x:f>
      </x:c>
      <x:c r="AB218" s="66" t="str">
        <x:f t="shared" si="14">IF(A218="","","Unique string or number; no numeric range required")</x:f>
      </x:c>
      <x:c r="AC218" s="66" t="str">
        <x:f>IF(A218="","",IF(OR(B218="",D218="",E218="",F218="",G218="",H218="",J218="",K218="",L218="",M218="",O218="",P218="",AND(I218="",AG218=""),AND(B218&lt;&gt;"repair",B218&lt;&gt;"bridge",C218="")),"INCOMPLETE","CHECK ONLINE"))</x:f>
      </x:c>
      <x:c r="AD218" s="67" t="str">
        <x:f>IF(A218="","",IF(AC218="INCOMPLETE","Fill required fields including RepairSkill and an answer. See Instructions.","Copy all columns with headers to the browser validator for full schema, assets and mode checks."))</x:f>
      </x:c>
      <x:c r="AE218" s="67" t="str">
        <x:f t="shared" si="15">IF(A218="","","https://masteryquests.org/tools/question-bank-validator/")</x:f>
      </x:c>
      <x:c r="AF218" s="60"/>
      <x:c r="AH218" s="60"/>
      <x:c r="AI218" s="60"/>
    </x:row>
    <x:row r="219" ht="45" customHeight="1">
      <x:c r="A219" s="15"/>
      <x:c r="B219" s="15"/>
      <x:c r="C219" s="15"/>
      <x:c r="D219" s="12"/>
      <x:c r="E219" s="12"/>
      <x:c r="F219" s="12"/>
      <x:c r="G219" s="12"/>
      <x:c r="H219" s="12"/>
      <x:c r="I219" s="15"/>
      <x:c r="J219" s="12"/>
      <x:c r="K219" s="12"/>
      <x:c r="L219" s="12"/>
      <x:c r="M219" s="12"/>
      <x:c r="N219" s="12"/>
      <x:c r="O219" s="13"/>
      <x:c r="P219" s="13"/>
      <x:c r="Q219" s="13"/>
      <x:c r="R219" s="13"/>
      <x:c r="S219" s="13"/>
      <x:c r="T219" s="13"/>
      <x:c r="U219" s="14"/>
      <x:c r="V219" s="14"/>
      <x:c r="W219" s="16"/>
      <x:c r="X219" s="16"/>
      <x:c r="Y219" s="14"/>
      <x:c r="Z219" s="66" t="str">
        <x:f t="shared" si="12">IF(A219="","",IF(MAX(LEN(E219),LEN(F219),LEN(G219),LEN(H219))&gt;2*MIN(LEN(E219),LEN(F219),LEN(G219),LEN(H219)),"Review answer lengths",""))</x:f>
      </x:c>
      <x:c r="AA219" s="66" t="str">
        <x:f t="shared" si="13">IF(A219="","",IF(COUNTIF($A$2:$A$301,A219)&gt;1,"Duplicate ID",IF(COUNTIF($D$2:$D$301,D219)&gt;1,"Review repeated text","")))</x:f>
      </x:c>
      <x:c r="AB219" s="66" t="str">
        <x:f t="shared" si="14">IF(A219="","","Unique string or number; no numeric range required")</x:f>
      </x:c>
      <x:c r="AC219" s="66" t="str">
        <x:f>IF(A219="","",IF(OR(B219="",D219="",E219="",F219="",G219="",H219="",J219="",K219="",L219="",M219="",O219="",P219="",AND(I219="",AG219=""),AND(B219&lt;&gt;"repair",B219&lt;&gt;"bridge",C219="")),"INCOMPLETE","CHECK ONLINE"))</x:f>
      </x:c>
      <x:c r="AD219" s="67" t="str">
        <x:f>IF(A219="","",IF(AC219="INCOMPLETE","Fill required fields including RepairSkill and an answer. See Instructions.","Copy all columns with headers to the browser validator for full schema, assets and mode checks."))</x:f>
      </x:c>
      <x:c r="AE219" s="67" t="str">
        <x:f t="shared" si="15">IF(A219="","","https://masteryquests.org/tools/question-bank-validator/")</x:f>
      </x:c>
      <x:c r="AF219" s="60"/>
      <x:c r="AH219" s="60"/>
      <x:c r="AI219" s="60"/>
    </x:row>
    <x:row r="220" ht="45" customHeight="1">
      <x:c r="A220" s="15"/>
      <x:c r="B220" s="15"/>
      <x:c r="C220" s="15"/>
      <x:c r="D220" s="12"/>
      <x:c r="E220" s="12"/>
      <x:c r="F220" s="12"/>
      <x:c r="G220" s="12"/>
      <x:c r="H220" s="12"/>
      <x:c r="I220" s="15"/>
      <x:c r="J220" s="12"/>
      <x:c r="K220" s="12"/>
      <x:c r="L220" s="12"/>
      <x:c r="M220" s="12"/>
      <x:c r="N220" s="12"/>
      <x:c r="O220" s="13"/>
      <x:c r="P220" s="13"/>
      <x:c r="Q220" s="13"/>
      <x:c r="R220" s="13"/>
      <x:c r="S220" s="13"/>
      <x:c r="T220" s="13"/>
      <x:c r="U220" s="14"/>
      <x:c r="V220" s="14"/>
      <x:c r="W220" s="16"/>
      <x:c r="X220" s="16"/>
      <x:c r="Y220" s="14"/>
      <x:c r="Z220" s="66" t="str">
        <x:f t="shared" si="12">IF(A220="","",IF(MAX(LEN(E220),LEN(F220),LEN(G220),LEN(H220))&gt;2*MIN(LEN(E220),LEN(F220),LEN(G220),LEN(H220)),"Review answer lengths",""))</x:f>
      </x:c>
      <x:c r="AA220" s="66" t="str">
        <x:f t="shared" si="13">IF(A220="","",IF(COUNTIF($A$2:$A$301,A220)&gt;1,"Duplicate ID",IF(COUNTIF($D$2:$D$301,D220)&gt;1,"Review repeated text","")))</x:f>
      </x:c>
      <x:c r="AB220" s="66" t="str">
        <x:f t="shared" si="14">IF(A220="","","Unique string or number; no numeric range required")</x:f>
      </x:c>
      <x:c r="AC220" s="66" t="str">
        <x:f>IF(A220="","",IF(OR(B220="",D220="",E220="",F220="",G220="",H220="",J220="",K220="",L220="",M220="",O220="",P220="",AND(I220="",AG220=""),AND(B220&lt;&gt;"repair",B220&lt;&gt;"bridge",C220="")),"INCOMPLETE","CHECK ONLINE"))</x:f>
      </x:c>
      <x:c r="AD220" s="67" t="str">
        <x:f>IF(A220="","",IF(AC220="INCOMPLETE","Fill required fields including RepairSkill and an answer. See Instructions.","Copy all columns with headers to the browser validator for full schema, assets and mode checks."))</x:f>
      </x:c>
      <x:c r="AE220" s="67" t="str">
        <x:f t="shared" si="15">IF(A220="","","https://masteryquests.org/tools/question-bank-validator/")</x:f>
      </x:c>
      <x:c r="AF220" s="60"/>
      <x:c r="AH220" s="60"/>
      <x:c r="AI220" s="60"/>
    </x:row>
    <x:row r="221" ht="45" customHeight="1">
      <x:c r="A221" s="15"/>
      <x:c r="B221" s="15"/>
      <x:c r="C221" s="15"/>
      <x:c r="D221" s="12"/>
      <x:c r="E221" s="12"/>
      <x:c r="F221" s="12"/>
      <x:c r="G221" s="12"/>
      <x:c r="H221" s="12"/>
      <x:c r="I221" s="15"/>
      <x:c r="J221" s="12"/>
      <x:c r="K221" s="12"/>
      <x:c r="L221" s="12"/>
      <x:c r="M221" s="12"/>
      <x:c r="N221" s="12"/>
      <x:c r="O221" s="13"/>
      <x:c r="P221" s="13"/>
      <x:c r="Q221" s="13"/>
      <x:c r="R221" s="13"/>
      <x:c r="S221" s="13"/>
      <x:c r="T221" s="13"/>
      <x:c r="U221" s="14"/>
      <x:c r="V221" s="14"/>
      <x:c r="W221" s="16"/>
      <x:c r="X221" s="16"/>
      <x:c r="Y221" s="14"/>
      <x:c r="Z221" s="66" t="str">
        <x:f t="shared" si="12">IF(A221="","",IF(MAX(LEN(E221),LEN(F221),LEN(G221),LEN(H221))&gt;2*MIN(LEN(E221),LEN(F221),LEN(G221),LEN(H221)),"Review answer lengths",""))</x:f>
      </x:c>
      <x:c r="AA221" s="66" t="str">
        <x:f t="shared" si="13">IF(A221="","",IF(COUNTIF($A$2:$A$301,A221)&gt;1,"Duplicate ID",IF(COUNTIF($D$2:$D$301,D221)&gt;1,"Review repeated text","")))</x:f>
      </x:c>
      <x:c r="AB221" s="66" t="str">
        <x:f t="shared" si="14">IF(A221="","","Unique string or number; no numeric range required")</x:f>
      </x:c>
      <x:c r="AC221" s="66" t="str">
        <x:f>IF(A221="","",IF(OR(B221="",D221="",E221="",F221="",G221="",H221="",J221="",K221="",L221="",M221="",O221="",P221="",AND(I221="",AG221=""),AND(B221&lt;&gt;"repair",B221&lt;&gt;"bridge",C221="")),"INCOMPLETE","CHECK ONLINE"))</x:f>
      </x:c>
      <x:c r="AD221" s="67" t="str">
        <x:f>IF(A221="","",IF(AC221="INCOMPLETE","Fill required fields including RepairSkill and an answer. See Instructions.","Copy all columns with headers to the browser validator for full schema, assets and mode checks."))</x:f>
      </x:c>
      <x:c r="AE221" s="67" t="str">
        <x:f t="shared" si="15">IF(A221="","","https://masteryquests.org/tools/question-bank-validator/")</x:f>
      </x:c>
      <x:c r="AF221" s="60"/>
      <x:c r="AH221" s="60"/>
      <x:c r="AI221" s="60"/>
    </x:row>
    <x:row r="222" ht="45" customHeight="1">
      <x:c r="A222" s="15"/>
      <x:c r="B222" s="15"/>
      <x:c r="C222" s="15"/>
      <x:c r="D222" s="12"/>
      <x:c r="E222" s="12"/>
      <x:c r="F222" s="12"/>
      <x:c r="G222" s="12"/>
      <x:c r="H222" s="12"/>
      <x:c r="I222" s="15"/>
      <x:c r="J222" s="12"/>
      <x:c r="K222" s="12"/>
      <x:c r="L222" s="12"/>
      <x:c r="M222" s="12"/>
      <x:c r="N222" s="12"/>
      <x:c r="O222" s="13"/>
      <x:c r="P222" s="13"/>
      <x:c r="Q222" s="13"/>
      <x:c r="R222" s="13"/>
      <x:c r="S222" s="13"/>
      <x:c r="T222" s="13"/>
      <x:c r="U222" s="14"/>
      <x:c r="V222" s="14"/>
      <x:c r="W222" s="16"/>
      <x:c r="X222" s="16"/>
      <x:c r="Y222" s="14"/>
      <x:c r="Z222" s="66" t="str">
        <x:f t="shared" si="12">IF(A222="","",IF(MAX(LEN(E222),LEN(F222),LEN(G222),LEN(H222))&gt;2*MIN(LEN(E222),LEN(F222),LEN(G222),LEN(H222)),"Review answer lengths",""))</x:f>
      </x:c>
      <x:c r="AA222" s="66" t="str">
        <x:f t="shared" si="13">IF(A222="","",IF(COUNTIF($A$2:$A$301,A222)&gt;1,"Duplicate ID",IF(COUNTIF($D$2:$D$301,D222)&gt;1,"Review repeated text","")))</x:f>
      </x:c>
      <x:c r="AB222" s="66" t="str">
        <x:f t="shared" si="14">IF(A222="","","Unique string or number; no numeric range required")</x:f>
      </x:c>
      <x:c r="AC222" s="66" t="str">
        <x:f>IF(A222="","",IF(OR(B222="",D222="",E222="",F222="",G222="",H222="",J222="",K222="",L222="",M222="",O222="",P222="",AND(I222="",AG222=""),AND(B222&lt;&gt;"repair",B222&lt;&gt;"bridge",C222="")),"INCOMPLETE","CHECK ONLINE"))</x:f>
      </x:c>
      <x:c r="AD222" s="67" t="str">
        <x:f>IF(A222="","",IF(AC222="INCOMPLETE","Fill required fields including RepairSkill and an answer. See Instructions.","Copy all columns with headers to the browser validator for full schema, assets and mode checks."))</x:f>
      </x:c>
      <x:c r="AE222" s="67" t="str">
        <x:f t="shared" si="15">IF(A222="","","https://masteryquests.org/tools/question-bank-validator/")</x:f>
      </x:c>
      <x:c r="AF222" s="60"/>
      <x:c r="AH222" s="60"/>
      <x:c r="AI222" s="60"/>
    </x:row>
    <x:row r="223" ht="45" customHeight="1">
      <x:c r="A223" s="15"/>
      <x:c r="B223" s="15"/>
      <x:c r="C223" s="15"/>
      <x:c r="D223" s="12"/>
      <x:c r="E223" s="12"/>
      <x:c r="F223" s="12"/>
      <x:c r="G223" s="12"/>
      <x:c r="H223" s="12"/>
      <x:c r="I223" s="15"/>
      <x:c r="J223" s="12"/>
      <x:c r="K223" s="12"/>
      <x:c r="L223" s="12"/>
      <x:c r="M223" s="12"/>
      <x:c r="N223" s="12"/>
      <x:c r="O223" s="13"/>
      <x:c r="P223" s="13"/>
      <x:c r="Q223" s="13"/>
      <x:c r="R223" s="13"/>
      <x:c r="S223" s="13"/>
      <x:c r="T223" s="13"/>
      <x:c r="U223" s="14"/>
      <x:c r="V223" s="14"/>
      <x:c r="W223" s="16"/>
      <x:c r="X223" s="16"/>
      <x:c r="Y223" s="14"/>
      <x:c r="Z223" s="66" t="str">
        <x:f t="shared" si="12">IF(A223="","",IF(MAX(LEN(E223),LEN(F223),LEN(G223),LEN(H223))&gt;2*MIN(LEN(E223),LEN(F223),LEN(G223),LEN(H223)),"Review answer lengths",""))</x:f>
      </x:c>
      <x:c r="AA223" s="66" t="str">
        <x:f t="shared" si="13">IF(A223="","",IF(COUNTIF($A$2:$A$301,A223)&gt;1,"Duplicate ID",IF(COUNTIF($D$2:$D$301,D223)&gt;1,"Review repeated text","")))</x:f>
      </x:c>
      <x:c r="AB223" s="66" t="str">
        <x:f t="shared" si="14">IF(A223="","","Unique string or number; no numeric range required")</x:f>
      </x:c>
      <x:c r="AC223" s="66" t="str">
        <x:f>IF(A223="","",IF(OR(B223="",D223="",E223="",F223="",G223="",H223="",J223="",K223="",L223="",M223="",O223="",P223="",AND(I223="",AG223=""),AND(B223&lt;&gt;"repair",B223&lt;&gt;"bridge",C223="")),"INCOMPLETE","CHECK ONLINE"))</x:f>
      </x:c>
      <x:c r="AD223" s="67" t="str">
        <x:f>IF(A223="","",IF(AC223="INCOMPLETE","Fill required fields including RepairSkill and an answer. See Instructions.","Copy all columns with headers to the browser validator for full schema, assets and mode checks."))</x:f>
      </x:c>
      <x:c r="AE223" s="67" t="str">
        <x:f t="shared" si="15">IF(A223="","","https://masteryquests.org/tools/question-bank-validator/")</x:f>
      </x:c>
      <x:c r="AF223" s="60"/>
      <x:c r="AH223" s="60"/>
      <x:c r="AI223" s="60"/>
    </x:row>
    <x:row r="224" ht="45" customHeight="1">
      <x:c r="A224" s="15"/>
      <x:c r="B224" s="15"/>
      <x:c r="C224" s="15"/>
      <x:c r="D224" s="12"/>
      <x:c r="E224" s="12"/>
      <x:c r="F224" s="12"/>
      <x:c r="G224" s="12"/>
      <x:c r="H224" s="12"/>
      <x:c r="I224" s="15"/>
      <x:c r="J224" s="12"/>
      <x:c r="K224" s="12"/>
      <x:c r="L224" s="12"/>
      <x:c r="M224" s="12"/>
      <x:c r="N224" s="12"/>
      <x:c r="O224" s="13"/>
      <x:c r="P224" s="13"/>
      <x:c r="Q224" s="13"/>
      <x:c r="R224" s="13"/>
      <x:c r="S224" s="13"/>
      <x:c r="T224" s="13"/>
      <x:c r="U224" s="14"/>
      <x:c r="V224" s="14"/>
      <x:c r="W224" s="16"/>
      <x:c r="X224" s="16"/>
      <x:c r="Y224" s="14"/>
      <x:c r="Z224" s="66" t="str">
        <x:f t="shared" si="12">IF(A224="","",IF(MAX(LEN(E224),LEN(F224),LEN(G224),LEN(H224))&gt;2*MIN(LEN(E224),LEN(F224),LEN(G224),LEN(H224)),"Review answer lengths",""))</x:f>
      </x:c>
      <x:c r="AA224" s="66" t="str">
        <x:f t="shared" si="13">IF(A224="","",IF(COUNTIF($A$2:$A$301,A224)&gt;1,"Duplicate ID",IF(COUNTIF($D$2:$D$301,D224)&gt;1,"Review repeated text","")))</x:f>
      </x:c>
      <x:c r="AB224" s="66" t="str">
        <x:f t="shared" si="14">IF(A224="","","Unique string or number; no numeric range required")</x:f>
      </x:c>
      <x:c r="AC224" s="66" t="str">
        <x:f>IF(A224="","",IF(OR(B224="",D224="",E224="",F224="",G224="",H224="",J224="",K224="",L224="",M224="",O224="",P224="",AND(I224="",AG224=""),AND(B224&lt;&gt;"repair",B224&lt;&gt;"bridge",C224="")),"INCOMPLETE","CHECK ONLINE"))</x:f>
      </x:c>
      <x:c r="AD224" s="67" t="str">
        <x:f>IF(A224="","",IF(AC224="INCOMPLETE","Fill required fields including RepairSkill and an answer. See Instructions.","Copy all columns with headers to the browser validator for full schema, assets and mode checks."))</x:f>
      </x:c>
      <x:c r="AE224" s="67" t="str">
        <x:f t="shared" si="15">IF(A224="","","https://masteryquests.org/tools/question-bank-validator/")</x:f>
      </x:c>
      <x:c r="AF224" s="60"/>
      <x:c r="AH224" s="60"/>
      <x:c r="AI224" s="60"/>
    </x:row>
    <x:row r="225" ht="45" customHeight="1">
      <x:c r="A225" s="15"/>
      <x:c r="B225" s="15"/>
      <x:c r="C225" s="15"/>
      <x:c r="D225" s="12"/>
      <x:c r="E225" s="12"/>
      <x:c r="F225" s="12"/>
      <x:c r="G225" s="12"/>
      <x:c r="H225" s="12"/>
      <x:c r="I225" s="15"/>
      <x:c r="J225" s="12"/>
      <x:c r="K225" s="12"/>
      <x:c r="L225" s="12"/>
      <x:c r="M225" s="12"/>
      <x:c r="N225" s="12"/>
      <x:c r="O225" s="13"/>
      <x:c r="P225" s="13"/>
      <x:c r="Q225" s="13"/>
      <x:c r="R225" s="13"/>
      <x:c r="S225" s="13"/>
      <x:c r="T225" s="13"/>
      <x:c r="U225" s="14"/>
      <x:c r="V225" s="14"/>
      <x:c r="W225" s="16"/>
      <x:c r="X225" s="16"/>
      <x:c r="Y225" s="14"/>
      <x:c r="Z225" s="66" t="str">
        <x:f t="shared" si="12">IF(A225="","",IF(MAX(LEN(E225),LEN(F225),LEN(G225),LEN(H225))&gt;2*MIN(LEN(E225),LEN(F225),LEN(G225),LEN(H225)),"Review answer lengths",""))</x:f>
      </x:c>
      <x:c r="AA225" s="66" t="str">
        <x:f t="shared" si="13">IF(A225="","",IF(COUNTIF($A$2:$A$301,A225)&gt;1,"Duplicate ID",IF(COUNTIF($D$2:$D$301,D225)&gt;1,"Review repeated text","")))</x:f>
      </x:c>
      <x:c r="AB225" s="66" t="str">
        <x:f t="shared" si="14">IF(A225="","","Unique string or number; no numeric range required")</x:f>
      </x:c>
      <x:c r="AC225" s="66" t="str">
        <x:f>IF(A225="","",IF(OR(B225="",D225="",E225="",F225="",G225="",H225="",J225="",K225="",L225="",M225="",O225="",P225="",AND(I225="",AG225=""),AND(B225&lt;&gt;"repair",B225&lt;&gt;"bridge",C225="")),"INCOMPLETE","CHECK ONLINE"))</x:f>
      </x:c>
      <x:c r="AD225" s="67" t="str">
        <x:f>IF(A225="","",IF(AC225="INCOMPLETE","Fill required fields including RepairSkill and an answer. See Instructions.","Copy all columns with headers to the browser validator for full schema, assets and mode checks."))</x:f>
      </x:c>
      <x:c r="AE225" s="67" t="str">
        <x:f t="shared" si="15">IF(A225="","","https://masteryquests.org/tools/question-bank-validator/")</x:f>
      </x:c>
      <x:c r="AF225" s="60"/>
      <x:c r="AH225" s="60"/>
      <x:c r="AI225" s="60"/>
    </x:row>
    <x:row r="226" ht="45" customHeight="1">
      <x:c r="A226" s="15"/>
      <x:c r="B226" s="15"/>
      <x:c r="C226" s="15"/>
      <x:c r="D226" s="12"/>
      <x:c r="E226" s="12"/>
      <x:c r="F226" s="12"/>
      <x:c r="G226" s="12"/>
      <x:c r="H226" s="12"/>
      <x:c r="I226" s="15"/>
      <x:c r="J226" s="12"/>
      <x:c r="K226" s="12"/>
      <x:c r="L226" s="12"/>
      <x:c r="M226" s="12"/>
      <x:c r="N226" s="12"/>
      <x:c r="O226" s="13"/>
      <x:c r="P226" s="13"/>
      <x:c r="Q226" s="13"/>
      <x:c r="R226" s="13"/>
      <x:c r="S226" s="13"/>
      <x:c r="T226" s="13"/>
      <x:c r="U226" s="14"/>
      <x:c r="V226" s="14"/>
      <x:c r="W226" s="16"/>
      <x:c r="X226" s="16"/>
      <x:c r="Y226" s="14"/>
      <x:c r="Z226" s="66" t="str">
        <x:f t="shared" si="12">IF(A226="","",IF(MAX(LEN(E226),LEN(F226),LEN(G226),LEN(H226))&gt;2*MIN(LEN(E226),LEN(F226),LEN(G226),LEN(H226)),"Review answer lengths",""))</x:f>
      </x:c>
      <x:c r="AA226" s="66" t="str">
        <x:f t="shared" si="13">IF(A226="","",IF(COUNTIF($A$2:$A$301,A226)&gt;1,"Duplicate ID",IF(COUNTIF($D$2:$D$301,D226)&gt;1,"Review repeated text","")))</x:f>
      </x:c>
      <x:c r="AB226" s="66" t="str">
        <x:f t="shared" si="14">IF(A226="","","Unique string or number; no numeric range required")</x:f>
      </x:c>
      <x:c r="AC226" s="66" t="str">
        <x:f>IF(A226="","",IF(OR(B226="",D226="",E226="",F226="",G226="",H226="",J226="",K226="",L226="",M226="",O226="",P226="",AND(I226="",AG226=""),AND(B226&lt;&gt;"repair",B226&lt;&gt;"bridge",C226="")),"INCOMPLETE","CHECK ONLINE"))</x:f>
      </x:c>
      <x:c r="AD226" s="67" t="str">
        <x:f>IF(A226="","",IF(AC226="INCOMPLETE","Fill required fields including RepairSkill and an answer. See Instructions.","Copy all columns with headers to the browser validator for full schema, assets and mode checks."))</x:f>
      </x:c>
      <x:c r="AE226" s="67" t="str">
        <x:f t="shared" si="15">IF(A226="","","https://masteryquests.org/tools/question-bank-validator/")</x:f>
      </x:c>
      <x:c r="AF226" s="60"/>
      <x:c r="AH226" s="60"/>
      <x:c r="AI226" s="60"/>
    </x:row>
    <x:row r="227" ht="45" customHeight="1">
      <x:c r="A227" s="15"/>
      <x:c r="B227" s="15"/>
      <x:c r="C227" s="15"/>
      <x:c r="D227" s="12"/>
      <x:c r="E227" s="12"/>
      <x:c r="F227" s="12"/>
      <x:c r="G227" s="12"/>
      <x:c r="H227" s="12"/>
      <x:c r="I227" s="15"/>
      <x:c r="J227" s="12"/>
      <x:c r="K227" s="12"/>
      <x:c r="L227" s="12"/>
      <x:c r="M227" s="12"/>
      <x:c r="N227" s="12"/>
      <x:c r="O227" s="13"/>
      <x:c r="P227" s="13"/>
      <x:c r="Q227" s="13"/>
      <x:c r="R227" s="13"/>
      <x:c r="S227" s="13"/>
      <x:c r="T227" s="13"/>
      <x:c r="U227" s="14"/>
      <x:c r="V227" s="14"/>
      <x:c r="W227" s="16"/>
      <x:c r="X227" s="16"/>
      <x:c r="Y227" s="14"/>
      <x:c r="Z227" s="66" t="str">
        <x:f t="shared" si="12">IF(A227="","",IF(MAX(LEN(E227),LEN(F227),LEN(G227),LEN(H227))&gt;2*MIN(LEN(E227),LEN(F227),LEN(G227),LEN(H227)),"Review answer lengths",""))</x:f>
      </x:c>
      <x:c r="AA227" s="66" t="str">
        <x:f t="shared" si="13">IF(A227="","",IF(COUNTIF($A$2:$A$301,A227)&gt;1,"Duplicate ID",IF(COUNTIF($D$2:$D$301,D227)&gt;1,"Review repeated text","")))</x:f>
      </x:c>
      <x:c r="AB227" s="66" t="str">
        <x:f t="shared" si="14">IF(A227="","","Unique string or number; no numeric range required")</x:f>
      </x:c>
      <x:c r="AC227" s="66" t="str">
        <x:f>IF(A227="","",IF(OR(B227="",D227="",E227="",F227="",G227="",H227="",J227="",K227="",L227="",M227="",O227="",P227="",AND(I227="",AG227=""),AND(B227&lt;&gt;"repair",B227&lt;&gt;"bridge",C227="")),"INCOMPLETE","CHECK ONLINE"))</x:f>
      </x:c>
      <x:c r="AD227" s="67" t="str">
        <x:f>IF(A227="","",IF(AC227="INCOMPLETE","Fill required fields including RepairSkill and an answer. See Instructions.","Copy all columns with headers to the browser validator for full schema, assets and mode checks."))</x:f>
      </x:c>
      <x:c r="AE227" s="67" t="str">
        <x:f t="shared" si="15">IF(A227="","","https://masteryquests.org/tools/question-bank-validator/")</x:f>
      </x:c>
      <x:c r="AF227" s="60"/>
      <x:c r="AH227" s="60"/>
      <x:c r="AI227" s="60"/>
    </x:row>
    <x:row r="228" ht="45" customHeight="1">
      <x:c r="A228" s="15"/>
      <x:c r="B228" s="15"/>
      <x:c r="C228" s="15"/>
      <x:c r="D228" s="12"/>
      <x:c r="E228" s="12"/>
      <x:c r="F228" s="12"/>
      <x:c r="G228" s="12"/>
      <x:c r="H228" s="12"/>
      <x:c r="I228" s="15"/>
      <x:c r="J228" s="12"/>
      <x:c r="K228" s="12"/>
      <x:c r="L228" s="12"/>
      <x:c r="M228" s="12"/>
      <x:c r="N228" s="12"/>
      <x:c r="O228" s="13"/>
      <x:c r="P228" s="13"/>
      <x:c r="Q228" s="13"/>
      <x:c r="R228" s="13"/>
      <x:c r="S228" s="13"/>
      <x:c r="T228" s="13"/>
      <x:c r="U228" s="14"/>
      <x:c r="V228" s="14"/>
      <x:c r="W228" s="16"/>
      <x:c r="X228" s="16"/>
      <x:c r="Y228" s="14"/>
      <x:c r="Z228" s="66" t="str">
        <x:f t="shared" si="12">IF(A228="","",IF(MAX(LEN(E228),LEN(F228),LEN(G228),LEN(H228))&gt;2*MIN(LEN(E228),LEN(F228),LEN(G228),LEN(H228)),"Review answer lengths",""))</x:f>
      </x:c>
      <x:c r="AA228" s="66" t="str">
        <x:f t="shared" si="13">IF(A228="","",IF(COUNTIF($A$2:$A$301,A228)&gt;1,"Duplicate ID",IF(COUNTIF($D$2:$D$301,D228)&gt;1,"Review repeated text","")))</x:f>
      </x:c>
      <x:c r="AB228" s="66" t="str">
        <x:f t="shared" si="14">IF(A228="","","Unique string or number; no numeric range required")</x:f>
      </x:c>
      <x:c r="AC228" s="66" t="str">
        <x:f>IF(A228="","",IF(OR(B228="",D228="",E228="",F228="",G228="",H228="",J228="",K228="",L228="",M228="",O228="",P228="",AND(I228="",AG228=""),AND(B228&lt;&gt;"repair",B228&lt;&gt;"bridge",C228="")),"INCOMPLETE","CHECK ONLINE"))</x:f>
      </x:c>
      <x:c r="AD228" s="67" t="str">
        <x:f>IF(A228="","",IF(AC228="INCOMPLETE","Fill required fields including RepairSkill and an answer. See Instructions.","Copy all columns with headers to the browser validator for full schema, assets and mode checks."))</x:f>
      </x:c>
      <x:c r="AE228" s="67" t="str">
        <x:f t="shared" si="15">IF(A228="","","https://masteryquests.org/tools/question-bank-validator/")</x:f>
      </x:c>
      <x:c r="AF228" s="60"/>
      <x:c r="AH228" s="60"/>
      <x:c r="AI228" s="60"/>
    </x:row>
    <x:row r="229" ht="45" customHeight="1">
      <x:c r="A229" s="15"/>
      <x:c r="B229" s="15"/>
      <x:c r="C229" s="15"/>
      <x:c r="D229" s="12"/>
      <x:c r="E229" s="12"/>
      <x:c r="F229" s="12"/>
      <x:c r="G229" s="12"/>
      <x:c r="H229" s="12"/>
      <x:c r="I229" s="15"/>
      <x:c r="J229" s="12"/>
      <x:c r="K229" s="12"/>
      <x:c r="L229" s="12"/>
      <x:c r="M229" s="12"/>
      <x:c r="N229" s="12"/>
      <x:c r="O229" s="13"/>
      <x:c r="P229" s="13"/>
      <x:c r="Q229" s="13"/>
      <x:c r="R229" s="13"/>
      <x:c r="S229" s="13"/>
      <x:c r="T229" s="13"/>
      <x:c r="U229" s="14"/>
      <x:c r="V229" s="14"/>
      <x:c r="W229" s="16"/>
      <x:c r="X229" s="16"/>
      <x:c r="Y229" s="14"/>
      <x:c r="Z229" s="66" t="str">
        <x:f t="shared" si="12">IF(A229="","",IF(MAX(LEN(E229),LEN(F229),LEN(G229),LEN(H229))&gt;2*MIN(LEN(E229),LEN(F229),LEN(G229),LEN(H229)),"Review answer lengths",""))</x:f>
      </x:c>
      <x:c r="AA229" s="66" t="str">
        <x:f t="shared" si="13">IF(A229="","",IF(COUNTIF($A$2:$A$301,A229)&gt;1,"Duplicate ID",IF(COUNTIF($D$2:$D$301,D229)&gt;1,"Review repeated text","")))</x:f>
      </x:c>
      <x:c r="AB229" s="66" t="str">
        <x:f t="shared" si="14">IF(A229="","","Unique string or number; no numeric range required")</x:f>
      </x:c>
      <x:c r="AC229" s="66" t="str">
        <x:f>IF(A229="","",IF(OR(B229="",D229="",E229="",F229="",G229="",H229="",J229="",K229="",L229="",M229="",O229="",P229="",AND(I229="",AG229=""),AND(B229&lt;&gt;"repair",B229&lt;&gt;"bridge",C229="")),"INCOMPLETE","CHECK ONLINE"))</x:f>
      </x:c>
      <x:c r="AD229" s="67" t="str">
        <x:f>IF(A229="","",IF(AC229="INCOMPLETE","Fill required fields including RepairSkill and an answer. See Instructions.","Copy all columns with headers to the browser validator for full schema, assets and mode checks."))</x:f>
      </x:c>
      <x:c r="AE229" s="67" t="str">
        <x:f t="shared" si="15">IF(A229="","","https://masteryquests.org/tools/question-bank-validator/")</x:f>
      </x:c>
      <x:c r="AF229" s="60"/>
      <x:c r="AH229" s="60"/>
      <x:c r="AI229" s="60"/>
    </x:row>
    <x:row r="230" ht="45" customHeight="1">
      <x:c r="A230" s="15"/>
      <x:c r="B230" s="15"/>
      <x:c r="C230" s="15"/>
      <x:c r="D230" s="12"/>
      <x:c r="E230" s="12"/>
      <x:c r="F230" s="12"/>
      <x:c r="G230" s="12"/>
      <x:c r="H230" s="12"/>
      <x:c r="I230" s="15"/>
      <x:c r="J230" s="12"/>
      <x:c r="K230" s="12"/>
      <x:c r="L230" s="12"/>
      <x:c r="M230" s="12"/>
      <x:c r="N230" s="12"/>
      <x:c r="O230" s="13"/>
      <x:c r="P230" s="13"/>
      <x:c r="Q230" s="13"/>
      <x:c r="R230" s="13"/>
      <x:c r="S230" s="13"/>
      <x:c r="T230" s="13"/>
      <x:c r="U230" s="14"/>
      <x:c r="V230" s="14"/>
      <x:c r="W230" s="16"/>
      <x:c r="X230" s="16"/>
      <x:c r="Y230" s="14"/>
      <x:c r="Z230" s="66" t="str">
        <x:f t="shared" si="12">IF(A230="","",IF(MAX(LEN(E230),LEN(F230),LEN(G230),LEN(H230))&gt;2*MIN(LEN(E230),LEN(F230),LEN(G230),LEN(H230)),"Review answer lengths",""))</x:f>
      </x:c>
      <x:c r="AA230" s="66" t="str">
        <x:f t="shared" si="13">IF(A230="","",IF(COUNTIF($A$2:$A$301,A230)&gt;1,"Duplicate ID",IF(COUNTIF($D$2:$D$301,D230)&gt;1,"Review repeated text","")))</x:f>
      </x:c>
      <x:c r="AB230" s="66" t="str">
        <x:f t="shared" si="14">IF(A230="","","Unique string or number; no numeric range required")</x:f>
      </x:c>
      <x:c r="AC230" s="66" t="str">
        <x:f>IF(A230="","",IF(OR(B230="",D230="",E230="",F230="",G230="",H230="",J230="",K230="",L230="",M230="",O230="",P230="",AND(I230="",AG230=""),AND(B230&lt;&gt;"repair",B230&lt;&gt;"bridge",C230="")),"INCOMPLETE","CHECK ONLINE"))</x:f>
      </x:c>
      <x:c r="AD230" s="67" t="str">
        <x:f>IF(A230="","",IF(AC230="INCOMPLETE","Fill required fields including RepairSkill and an answer. See Instructions.","Copy all columns with headers to the browser validator for full schema, assets and mode checks."))</x:f>
      </x:c>
      <x:c r="AE230" s="67" t="str">
        <x:f t="shared" si="15">IF(A230="","","https://masteryquests.org/tools/question-bank-validator/")</x:f>
      </x:c>
      <x:c r="AF230" s="60"/>
      <x:c r="AH230" s="60"/>
      <x:c r="AI230" s="60"/>
    </x:row>
    <x:row r="231" ht="45" customHeight="1">
      <x:c r="A231" s="15"/>
      <x:c r="B231" s="15"/>
      <x:c r="C231" s="15"/>
      <x:c r="D231" s="12"/>
      <x:c r="E231" s="12"/>
      <x:c r="F231" s="12"/>
      <x:c r="G231" s="12"/>
      <x:c r="H231" s="12"/>
      <x:c r="I231" s="15"/>
      <x:c r="J231" s="12"/>
      <x:c r="K231" s="12"/>
      <x:c r="L231" s="12"/>
      <x:c r="M231" s="12"/>
      <x:c r="N231" s="12"/>
      <x:c r="O231" s="13"/>
      <x:c r="P231" s="13"/>
      <x:c r="Q231" s="13"/>
      <x:c r="R231" s="13"/>
      <x:c r="S231" s="13"/>
      <x:c r="T231" s="13"/>
      <x:c r="U231" s="14"/>
      <x:c r="V231" s="14"/>
      <x:c r="W231" s="16"/>
      <x:c r="X231" s="16"/>
      <x:c r="Y231" s="14"/>
      <x:c r="Z231" s="66" t="str">
        <x:f t="shared" si="12">IF(A231="","",IF(MAX(LEN(E231),LEN(F231),LEN(G231),LEN(H231))&gt;2*MIN(LEN(E231),LEN(F231),LEN(G231),LEN(H231)),"Review answer lengths",""))</x:f>
      </x:c>
      <x:c r="AA231" s="66" t="str">
        <x:f t="shared" si="13">IF(A231="","",IF(COUNTIF($A$2:$A$301,A231)&gt;1,"Duplicate ID",IF(COUNTIF($D$2:$D$301,D231)&gt;1,"Review repeated text","")))</x:f>
      </x:c>
      <x:c r="AB231" s="66" t="str">
        <x:f t="shared" si="14">IF(A231="","","Unique string or number; no numeric range required")</x:f>
      </x:c>
      <x:c r="AC231" s="66" t="str">
        <x:f>IF(A231="","",IF(OR(B231="",D231="",E231="",F231="",G231="",H231="",J231="",K231="",L231="",M231="",O231="",P231="",AND(I231="",AG231=""),AND(B231&lt;&gt;"repair",B231&lt;&gt;"bridge",C231="")),"INCOMPLETE","CHECK ONLINE"))</x:f>
      </x:c>
      <x:c r="AD231" s="67" t="str">
        <x:f>IF(A231="","",IF(AC231="INCOMPLETE","Fill required fields including RepairSkill and an answer. See Instructions.","Copy all columns with headers to the browser validator for full schema, assets and mode checks."))</x:f>
      </x:c>
      <x:c r="AE231" s="67" t="str">
        <x:f t="shared" si="15">IF(A231="","","https://masteryquests.org/tools/question-bank-validator/")</x:f>
      </x:c>
      <x:c r="AF231" s="60"/>
      <x:c r="AH231" s="60"/>
      <x:c r="AI231" s="60"/>
    </x:row>
    <x:row r="232" ht="45" customHeight="1">
      <x:c r="A232" s="15"/>
      <x:c r="B232" s="15"/>
      <x:c r="C232" s="15"/>
      <x:c r="D232" s="12"/>
      <x:c r="E232" s="12"/>
      <x:c r="F232" s="12"/>
      <x:c r="G232" s="12"/>
      <x:c r="H232" s="12"/>
      <x:c r="I232" s="15"/>
      <x:c r="J232" s="12"/>
      <x:c r="K232" s="12"/>
      <x:c r="L232" s="12"/>
      <x:c r="M232" s="12"/>
      <x:c r="N232" s="12"/>
      <x:c r="O232" s="13"/>
      <x:c r="P232" s="13"/>
      <x:c r="Q232" s="13"/>
      <x:c r="R232" s="13"/>
      <x:c r="S232" s="13"/>
      <x:c r="T232" s="13"/>
      <x:c r="U232" s="14"/>
      <x:c r="V232" s="14"/>
      <x:c r="W232" s="16"/>
      <x:c r="X232" s="16"/>
      <x:c r="Y232" s="14"/>
      <x:c r="Z232" s="66" t="str">
        <x:f t="shared" si="12">IF(A232="","",IF(MAX(LEN(E232),LEN(F232),LEN(G232),LEN(H232))&gt;2*MIN(LEN(E232),LEN(F232),LEN(G232),LEN(H232)),"Review answer lengths",""))</x:f>
      </x:c>
      <x:c r="AA232" s="66" t="str">
        <x:f t="shared" si="13">IF(A232="","",IF(COUNTIF($A$2:$A$301,A232)&gt;1,"Duplicate ID",IF(COUNTIF($D$2:$D$301,D232)&gt;1,"Review repeated text","")))</x:f>
      </x:c>
      <x:c r="AB232" s="66" t="str">
        <x:f t="shared" si="14">IF(A232="","","Unique string or number; no numeric range required")</x:f>
      </x:c>
      <x:c r="AC232" s="66" t="str">
        <x:f>IF(A232="","",IF(OR(B232="",D232="",E232="",F232="",G232="",H232="",J232="",K232="",L232="",M232="",O232="",P232="",AND(I232="",AG232=""),AND(B232&lt;&gt;"repair",B232&lt;&gt;"bridge",C232="")),"INCOMPLETE","CHECK ONLINE"))</x:f>
      </x:c>
      <x:c r="AD232" s="67" t="str">
        <x:f>IF(A232="","",IF(AC232="INCOMPLETE","Fill required fields including RepairSkill and an answer. See Instructions.","Copy all columns with headers to the browser validator for full schema, assets and mode checks."))</x:f>
      </x:c>
      <x:c r="AE232" s="67" t="str">
        <x:f t="shared" si="15">IF(A232="","","https://masteryquests.org/tools/question-bank-validator/")</x:f>
      </x:c>
      <x:c r="AF232" s="60"/>
      <x:c r="AH232" s="60"/>
      <x:c r="AI232" s="60"/>
    </x:row>
    <x:row r="233" ht="45" customHeight="1">
      <x:c r="A233" s="15"/>
      <x:c r="B233" s="15"/>
      <x:c r="C233" s="15"/>
      <x:c r="D233" s="12"/>
      <x:c r="E233" s="12"/>
      <x:c r="F233" s="12"/>
      <x:c r="G233" s="12"/>
      <x:c r="H233" s="12"/>
      <x:c r="I233" s="15"/>
      <x:c r="J233" s="12"/>
      <x:c r="K233" s="12"/>
      <x:c r="L233" s="12"/>
      <x:c r="M233" s="12"/>
      <x:c r="N233" s="12"/>
      <x:c r="O233" s="13"/>
      <x:c r="P233" s="13"/>
      <x:c r="Q233" s="13"/>
      <x:c r="R233" s="13"/>
      <x:c r="S233" s="13"/>
      <x:c r="T233" s="13"/>
      <x:c r="U233" s="14"/>
      <x:c r="V233" s="14"/>
      <x:c r="W233" s="16"/>
      <x:c r="X233" s="16"/>
      <x:c r="Y233" s="14"/>
      <x:c r="Z233" s="66" t="str">
        <x:f t="shared" si="12">IF(A233="","",IF(MAX(LEN(E233),LEN(F233),LEN(G233),LEN(H233))&gt;2*MIN(LEN(E233),LEN(F233),LEN(G233),LEN(H233)),"Review answer lengths",""))</x:f>
      </x:c>
      <x:c r="AA233" s="66" t="str">
        <x:f t="shared" si="13">IF(A233="","",IF(COUNTIF($A$2:$A$301,A233)&gt;1,"Duplicate ID",IF(COUNTIF($D$2:$D$301,D233)&gt;1,"Review repeated text","")))</x:f>
      </x:c>
      <x:c r="AB233" s="66" t="str">
        <x:f t="shared" si="14">IF(A233="","","Unique string or number; no numeric range required")</x:f>
      </x:c>
      <x:c r="AC233" s="66" t="str">
        <x:f>IF(A233="","",IF(OR(B233="",D233="",E233="",F233="",G233="",H233="",J233="",K233="",L233="",M233="",O233="",P233="",AND(I233="",AG233=""),AND(B233&lt;&gt;"repair",B233&lt;&gt;"bridge",C233="")),"INCOMPLETE","CHECK ONLINE"))</x:f>
      </x:c>
      <x:c r="AD233" s="67" t="str">
        <x:f>IF(A233="","",IF(AC233="INCOMPLETE","Fill required fields including RepairSkill and an answer. See Instructions.","Copy all columns with headers to the browser validator for full schema, assets and mode checks."))</x:f>
      </x:c>
      <x:c r="AE233" s="67" t="str">
        <x:f t="shared" si="15">IF(A233="","","https://masteryquests.org/tools/question-bank-validator/")</x:f>
      </x:c>
      <x:c r="AF233" s="60"/>
      <x:c r="AH233" s="60"/>
      <x:c r="AI233" s="60"/>
    </x:row>
    <x:row r="234" ht="45" customHeight="1">
      <x:c r="A234" s="15"/>
      <x:c r="B234" s="15"/>
      <x:c r="C234" s="15"/>
      <x:c r="D234" s="12"/>
      <x:c r="E234" s="12"/>
      <x:c r="F234" s="12"/>
      <x:c r="G234" s="12"/>
      <x:c r="H234" s="12"/>
      <x:c r="I234" s="15"/>
      <x:c r="J234" s="12"/>
      <x:c r="K234" s="12"/>
      <x:c r="L234" s="12"/>
      <x:c r="M234" s="12"/>
      <x:c r="N234" s="12"/>
      <x:c r="O234" s="13"/>
      <x:c r="P234" s="13"/>
      <x:c r="Q234" s="13"/>
      <x:c r="R234" s="13"/>
      <x:c r="S234" s="13"/>
      <x:c r="T234" s="13"/>
      <x:c r="U234" s="14"/>
      <x:c r="V234" s="14"/>
      <x:c r="W234" s="16"/>
      <x:c r="X234" s="16"/>
      <x:c r="Y234" s="14"/>
      <x:c r="Z234" s="66" t="str">
        <x:f t="shared" si="12">IF(A234="","",IF(MAX(LEN(E234),LEN(F234),LEN(G234),LEN(H234))&gt;2*MIN(LEN(E234),LEN(F234),LEN(G234),LEN(H234)),"Review answer lengths",""))</x:f>
      </x:c>
      <x:c r="AA234" s="66" t="str">
        <x:f t="shared" si="13">IF(A234="","",IF(COUNTIF($A$2:$A$301,A234)&gt;1,"Duplicate ID",IF(COUNTIF($D$2:$D$301,D234)&gt;1,"Review repeated text","")))</x:f>
      </x:c>
      <x:c r="AB234" s="66" t="str">
        <x:f t="shared" si="14">IF(A234="","","Unique string or number; no numeric range required")</x:f>
      </x:c>
      <x:c r="AC234" s="66" t="str">
        <x:f>IF(A234="","",IF(OR(B234="",D234="",E234="",F234="",G234="",H234="",J234="",K234="",L234="",M234="",O234="",P234="",AND(I234="",AG234=""),AND(B234&lt;&gt;"repair",B234&lt;&gt;"bridge",C234="")),"INCOMPLETE","CHECK ONLINE"))</x:f>
      </x:c>
      <x:c r="AD234" s="67" t="str">
        <x:f>IF(A234="","",IF(AC234="INCOMPLETE","Fill required fields including RepairSkill and an answer. See Instructions.","Copy all columns with headers to the browser validator for full schema, assets and mode checks."))</x:f>
      </x:c>
      <x:c r="AE234" s="67" t="str">
        <x:f t="shared" si="15">IF(A234="","","https://masteryquests.org/tools/question-bank-validator/")</x:f>
      </x:c>
      <x:c r="AF234" s="60"/>
      <x:c r="AH234" s="60"/>
      <x:c r="AI234" s="60"/>
    </x:row>
    <x:row r="235" ht="45" customHeight="1">
      <x:c r="A235" s="15"/>
      <x:c r="B235" s="15"/>
      <x:c r="C235" s="15"/>
      <x:c r="D235" s="12"/>
      <x:c r="E235" s="12"/>
      <x:c r="F235" s="12"/>
      <x:c r="G235" s="12"/>
      <x:c r="H235" s="12"/>
      <x:c r="I235" s="15"/>
      <x:c r="J235" s="12"/>
      <x:c r="K235" s="12"/>
      <x:c r="L235" s="12"/>
      <x:c r="M235" s="12"/>
      <x:c r="N235" s="12"/>
      <x:c r="O235" s="13"/>
      <x:c r="P235" s="13"/>
      <x:c r="Q235" s="13"/>
      <x:c r="R235" s="13"/>
      <x:c r="S235" s="13"/>
      <x:c r="T235" s="13"/>
      <x:c r="U235" s="14"/>
      <x:c r="V235" s="14"/>
      <x:c r="W235" s="16"/>
      <x:c r="X235" s="16"/>
      <x:c r="Y235" s="14"/>
      <x:c r="Z235" s="66" t="str">
        <x:f t="shared" si="12">IF(A235="","",IF(MAX(LEN(E235),LEN(F235),LEN(G235),LEN(H235))&gt;2*MIN(LEN(E235),LEN(F235),LEN(G235),LEN(H235)),"Review answer lengths",""))</x:f>
      </x:c>
      <x:c r="AA235" s="66" t="str">
        <x:f t="shared" si="13">IF(A235="","",IF(COUNTIF($A$2:$A$301,A235)&gt;1,"Duplicate ID",IF(COUNTIF($D$2:$D$301,D235)&gt;1,"Review repeated text","")))</x:f>
      </x:c>
      <x:c r="AB235" s="66" t="str">
        <x:f t="shared" si="14">IF(A235="","","Unique string or number; no numeric range required")</x:f>
      </x:c>
      <x:c r="AC235" s="66" t="str">
        <x:f>IF(A235="","",IF(OR(B235="",D235="",E235="",F235="",G235="",H235="",J235="",K235="",L235="",M235="",O235="",P235="",AND(I235="",AG235=""),AND(B235&lt;&gt;"repair",B235&lt;&gt;"bridge",C235="")),"INCOMPLETE","CHECK ONLINE"))</x:f>
      </x:c>
      <x:c r="AD235" s="67" t="str">
        <x:f>IF(A235="","",IF(AC235="INCOMPLETE","Fill required fields including RepairSkill and an answer. See Instructions.","Copy all columns with headers to the browser validator for full schema, assets and mode checks."))</x:f>
      </x:c>
      <x:c r="AE235" s="67" t="str">
        <x:f t="shared" si="15">IF(A235="","","https://masteryquests.org/tools/question-bank-validator/")</x:f>
      </x:c>
      <x:c r="AF235" s="60"/>
      <x:c r="AH235" s="60"/>
      <x:c r="AI235" s="60"/>
    </x:row>
    <x:row r="236" ht="45" customHeight="1">
      <x:c r="A236" s="15"/>
      <x:c r="B236" s="15"/>
      <x:c r="C236" s="15"/>
      <x:c r="D236" s="12"/>
      <x:c r="E236" s="12"/>
      <x:c r="F236" s="12"/>
      <x:c r="G236" s="12"/>
      <x:c r="H236" s="12"/>
      <x:c r="I236" s="15"/>
      <x:c r="J236" s="12"/>
      <x:c r="K236" s="12"/>
      <x:c r="L236" s="12"/>
      <x:c r="M236" s="12"/>
      <x:c r="N236" s="12"/>
      <x:c r="O236" s="13"/>
      <x:c r="P236" s="13"/>
      <x:c r="Q236" s="13"/>
      <x:c r="R236" s="13"/>
      <x:c r="S236" s="13"/>
      <x:c r="T236" s="13"/>
      <x:c r="U236" s="14"/>
      <x:c r="V236" s="14"/>
      <x:c r="W236" s="16"/>
      <x:c r="X236" s="16"/>
      <x:c r="Y236" s="14"/>
      <x:c r="Z236" s="66" t="str">
        <x:f t="shared" si="12">IF(A236="","",IF(MAX(LEN(E236),LEN(F236),LEN(G236),LEN(H236))&gt;2*MIN(LEN(E236),LEN(F236),LEN(G236),LEN(H236)),"Review answer lengths",""))</x:f>
      </x:c>
      <x:c r="AA236" s="66" t="str">
        <x:f t="shared" si="13">IF(A236="","",IF(COUNTIF($A$2:$A$301,A236)&gt;1,"Duplicate ID",IF(COUNTIF($D$2:$D$301,D236)&gt;1,"Review repeated text","")))</x:f>
      </x:c>
      <x:c r="AB236" s="66" t="str">
        <x:f t="shared" si="14">IF(A236="","","Unique string or number; no numeric range required")</x:f>
      </x:c>
      <x:c r="AC236" s="66" t="str">
        <x:f>IF(A236="","",IF(OR(B236="",D236="",E236="",F236="",G236="",H236="",J236="",K236="",L236="",M236="",O236="",P236="",AND(I236="",AG236=""),AND(B236&lt;&gt;"repair",B236&lt;&gt;"bridge",C236="")),"INCOMPLETE","CHECK ONLINE"))</x:f>
      </x:c>
      <x:c r="AD236" s="67" t="str">
        <x:f>IF(A236="","",IF(AC236="INCOMPLETE","Fill required fields including RepairSkill and an answer. See Instructions.","Copy all columns with headers to the browser validator for full schema, assets and mode checks."))</x:f>
      </x:c>
      <x:c r="AE236" s="67" t="str">
        <x:f t="shared" si="15">IF(A236="","","https://masteryquests.org/tools/question-bank-validator/")</x:f>
      </x:c>
      <x:c r="AF236" s="60"/>
      <x:c r="AH236" s="60"/>
      <x:c r="AI236" s="60"/>
    </x:row>
    <x:row r="237" ht="45" customHeight="1">
      <x:c r="A237" s="15"/>
      <x:c r="B237" s="15"/>
      <x:c r="C237" s="15"/>
      <x:c r="D237" s="12"/>
      <x:c r="E237" s="12"/>
      <x:c r="F237" s="12"/>
      <x:c r="G237" s="12"/>
      <x:c r="H237" s="12"/>
      <x:c r="I237" s="15"/>
      <x:c r="J237" s="12"/>
      <x:c r="K237" s="12"/>
      <x:c r="L237" s="12"/>
      <x:c r="M237" s="12"/>
      <x:c r="N237" s="12"/>
      <x:c r="O237" s="13"/>
      <x:c r="P237" s="13"/>
      <x:c r="Q237" s="13"/>
      <x:c r="R237" s="13"/>
      <x:c r="S237" s="13"/>
      <x:c r="T237" s="13"/>
      <x:c r="U237" s="14"/>
      <x:c r="V237" s="14"/>
      <x:c r="W237" s="16"/>
      <x:c r="X237" s="16"/>
      <x:c r="Y237" s="14"/>
      <x:c r="Z237" s="66" t="str">
        <x:f t="shared" si="12">IF(A237="","",IF(MAX(LEN(E237),LEN(F237),LEN(G237),LEN(H237))&gt;2*MIN(LEN(E237),LEN(F237),LEN(G237),LEN(H237)),"Review answer lengths",""))</x:f>
      </x:c>
      <x:c r="AA237" s="66" t="str">
        <x:f t="shared" si="13">IF(A237="","",IF(COUNTIF($A$2:$A$301,A237)&gt;1,"Duplicate ID",IF(COUNTIF($D$2:$D$301,D237)&gt;1,"Review repeated text","")))</x:f>
      </x:c>
      <x:c r="AB237" s="66" t="str">
        <x:f t="shared" si="14">IF(A237="","","Unique string or number; no numeric range required")</x:f>
      </x:c>
      <x:c r="AC237" s="66" t="str">
        <x:f>IF(A237="","",IF(OR(B237="",D237="",E237="",F237="",G237="",H237="",J237="",K237="",L237="",M237="",O237="",P237="",AND(I237="",AG237=""),AND(B237&lt;&gt;"repair",B237&lt;&gt;"bridge",C237="")),"INCOMPLETE","CHECK ONLINE"))</x:f>
      </x:c>
      <x:c r="AD237" s="67" t="str">
        <x:f>IF(A237="","",IF(AC237="INCOMPLETE","Fill required fields including RepairSkill and an answer. See Instructions.","Copy all columns with headers to the browser validator for full schema, assets and mode checks."))</x:f>
      </x:c>
      <x:c r="AE237" s="67" t="str">
        <x:f t="shared" si="15">IF(A237="","","https://masteryquests.org/tools/question-bank-validator/")</x:f>
      </x:c>
      <x:c r="AF237" s="60"/>
      <x:c r="AH237" s="60"/>
      <x:c r="AI237" s="60"/>
    </x:row>
    <x:row r="238" ht="45" customHeight="1">
      <x:c r="A238" s="15"/>
      <x:c r="B238" s="15"/>
      <x:c r="C238" s="15"/>
      <x:c r="D238" s="12"/>
      <x:c r="E238" s="12"/>
      <x:c r="F238" s="12"/>
      <x:c r="G238" s="12"/>
      <x:c r="H238" s="12"/>
      <x:c r="I238" s="15"/>
      <x:c r="J238" s="12"/>
      <x:c r="K238" s="12"/>
      <x:c r="L238" s="12"/>
      <x:c r="M238" s="12"/>
      <x:c r="N238" s="12"/>
      <x:c r="O238" s="13"/>
      <x:c r="P238" s="13"/>
      <x:c r="Q238" s="13"/>
      <x:c r="R238" s="13"/>
      <x:c r="S238" s="13"/>
      <x:c r="T238" s="13"/>
      <x:c r="U238" s="14"/>
      <x:c r="V238" s="14"/>
      <x:c r="W238" s="16"/>
      <x:c r="X238" s="16"/>
      <x:c r="Y238" s="14"/>
      <x:c r="Z238" s="66" t="str">
        <x:f t="shared" si="12">IF(A238="","",IF(MAX(LEN(E238),LEN(F238),LEN(G238),LEN(H238))&gt;2*MIN(LEN(E238),LEN(F238),LEN(G238),LEN(H238)),"Review answer lengths",""))</x:f>
      </x:c>
      <x:c r="AA238" s="66" t="str">
        <x:f t="shared" si="13">IF(A238="","",IF(COUNTIF($A$2:$A$301,A238)&gt;1,"Duplicate ID",IF(COUNTIF($D$2:$D$301,D238)&gt;1,"Review repeated text","")))</x:f>
      </x:c>
      <x:c r="AB238" s="66" t="str">
        <x:f t="shared" si="14">IF(A238="","","Unique string or number; no numeric range required")</x:f>
      </x:c>
      <x:c r="AC238" s="66" t="str">
        <x:f>IF(A238="","",IF(OR(B238="",D238="",E238="",F238="",G238="",H238="",J238="",K238="",L238="",M238="",O238="",P238="",AND(I238="",AG238=""),AND(B238&lt;&gt;"repair",B238&lt;&gt;"bridge",C238="")),"INCOMPLETE","CHECK ONLINE"))</x:f>
      </x:c>
      <x:c r="AD238" s="67" t="str">
        <x:f>IF(A238="","",IF(AC238="INCOMPLETE","Fill required fields including RepairSkill and an answer. See Instructions.","Copy all columns with headers to the browser validator for full schema, assets and mode checks."))</x:f>
      </x:c>
      <x:c r="AE238" s="67" t="str">
        <x:f t="shared" si="15">IF(A238="","","https://masteryquests.org/tools/question-bank-validator/")</x:f>
      </x:c>
      <x:c r="AF238" s="60"/>
      <x:c r="AH238" s="60"/>
      <x:c r="AI238" s="60"/>
    </x:row>
    <x:row r="239" ht="45" customHeight="1">
      <x:c r="A239" s="15"/>
      <x:c r="B239" s="15"/>
      <x:c r="C239" s="15"/>
      <x:c r="D239" s="12"/>
      <x:c r="E239" s="12"/>
      <x:c r="F239" s="12"/>
      <x:c r="G239" s="12"/>
      <x:c r="H239" s="12"/>
      <x:c r="I239" s="15"/>
      <x:c r="J239" s="12"/>
      <x:c r="K239" s="12"/>
      <x:c r="L239" s="12"/>
      <x:c r="M239" s="12"/>
      <x:c r="N239" s="12"/>
      <x:c r="O239" s="13"/>
      <x:c r="P239" s="13"/>
      <x:c r="Q239" s="13"/>
      <x:c r="R239" s="13"/>
      <x:c r="S239" s="13"/>
      <x:c r="T239" s="13"/>
      <x:c r="U239" s="14"/>
      <x:c r="V239" s="14"/>
      <x:c r="W239" s="16"/>
      <x:c r="X239" s="16"/>
      <x:c r="Y239" s="14"/>
      <x:c r="Z239" s="66" t="str">
        <x:f t="shared" si="12">IF(A239="","",IF(MAX(LEN(E239),LEN(F239),LEN(G239),LEN(H239))&gt;2*MIN(LEN(E239),LEN(F239),LEN(G239),LEN(H239)),"Review answer lengths",""))</x:f>
      </x:c>
      <x:c r="AA239" s="66" t="str">
        <x:f t="shared" si="13">IF(A239="","",IF(COUNTIF($A$2:$A$301,A239)&gt;1,"Duplicate ID",IF(COUNTIF($D$2:$D$301,D239)&gt;1,"Review repeated text","")))</x:f>
      </x:c>
      <x:c r="AB239" s="66" t="str">
        <x:f t="shared" si="14">IF(A239="","","Unique string or number; no numeric range required")</x:f>
      </x:c>
      <x:c r="AC239" s="66" t="str">
        <x:f>IF(A239="","",IF(OR(B239="",D239="",E239="",F239="",G239="",H239="",J239="",K239="",L239="",M239="",O239="",P239="",AND(I239="",AG239=""),AND(B239&lt;&gt;"repair",B239&lt;&gt;"bridge",C239="")),"INCOMPLETE","CHECK ONLINE"))</x:f>
      </x:c>
      <x:c r="AD239" s="67" t="str">
        <x:f>IF(A239="","",IF(AC239="INCOMPLETE","Fill required fields including RepairSkill and an answer. See Instructions.","Copy all columns with headers to the browser validator for full schema, assets and mode checks."))</x:f>
      </x:c>
      <x:c r="AE239" s="67" t="str">
        <x:f t="shared" si="15">IF(A239="","","https://masteryquests.org/tools/question-bank-validator/")</x:f>
      </x:c>
      <x:c r="AF239" s="60"/>
      <x:c r="AH239" s="60"/>
      <x:c r="AI239" s="60"/>
    </x:row>
    <x:row r="240" ht="45" customHeight="1">
      <x:c r="A240" s="15"/>
      <x:c r="B240" s="15"/>
      <x:c r="C240" s="15"/>
      <x:c r="D240" s="12"/>
      <x:c r="E240" s="12"/>
      <x:c r="F240" s="12"/>
      <x:c r="G240" s="12"/>
      <x:c r="H240" s="12"/>
      <x:c r="I240" s="15"/>
      <x:c r="J240" s="12"/>
      <x:c r="K240" s="12"/>
      <x:c r="L240" s="12"/>
      <x:c r="M240" s="12"/>
      <x:c r="N240" s="12"/>
      <x:c r="O240" s="13"/>
      <x:c r="P240" s="13"/>
      <x:c r="Q240" s="13"/>
      <x:c r="R240" s="13"/>
      <x:c r="S240" s="13"/>
      <x:c r="T240" s="13"/>
      <x:c r="U240" s="14"/>
      <x:c r="V240" s="14"/>
      <x:c r="W240" s="16"/>
      <x:c r="X240" s="16"/>
      <x:c r="Y240" s="14"/>
      <x:c r="Z240" s="66" t="str">
        <x:f t="shared" si="12">IF(A240="","",IF(MAX(LEN(E240),LEN(F240),LEN(G240),LEN(H240))&gt;2*MIN(LEN(E240),LEN(F240),LEN(G240),LEN(H240)),"Review answer lengths",""))</x:f>
      </x:c>
      <x:c r="AA240" s="66" t="str">
        <x:f t="shared" si="13">IF(A240="","",IF(COUNTIF($A$2:$A$301,A240)&gt;1,"Duplicate ID",IF(COUNTIF($D$2:$D$301,D240)&gt;1,"Review repeated text","")))</x:f>
      </x:c>
      <x:c r="AB240" s="66" t="str">
        <x:f t="shared" si="14">IF(A240="","","Unique string or number; no numeric range required")</x:f>
      </x:c>
      <x:c r="AC240" s="66" t="str">
        <x:f>IF(A240="","",IF(OR(B240="",D240="",E240="",F240="",G240="",H240="",J240="",K240="",L240="",M240="",O240="",P240="",AND(I240="",AG240=""),AND(B240&lt;&gt;"repair",B240&lt;&gt;"bridge",C240="")),"INCOMPLETE","CHECK ONLINE"))</x:f>
      </x:c>
      <x:c r="AD240" s="67" t="str">
        <x:f>IF(A240="","",IF(AC240="INCOMPLETE","Fill required fields including RepairSkill and an answer. See Instructions.","Copy all columns with headers to the browser validator for full schema, assets and mode checks."))</x:f>
      </x:c>
      <x:c r="AE240" s="67" t="str">
        <x:f t="shared" si="15">IF(A240="","","https://masteryquests.org/tools/question-bank-validator/")</x:f>
      </x:c>
      <x:c r="AF240" s="60"/>
      <x:c r="AH240" s="60"/>
      <x:c r="AI240" s="60"/>
    </x:row>
    <x:row r="241" ht="45" customHeight="1">
      <x:c r="A241" s="15"/>
      <x:c r="B241" s="15"/>
      <x:c r="C241" s="15"/>
      <x:c r="D241" s="12"/>
      <x:c r="E241" s="12"/>
      <x:c r="F241" s="12"/>
      <x:c r="G241" s="12"/>
      <x:c r="H241" s="12"/>
      <x:c r="I241" s="15"/>
      <x:c r="J241" s="12"/>
      <x:c r="K241" s="12"/>
      <x:c r="L241" s="12"/>
      <x:c r="M241" s="12"/>
      <x:c r="N241" s="12"/>
      <x:c r="O241" s="13"/>
      <x:c r="P241" s="13"/>
      <x:c r="Q241" s="13"/>
      <x:c r="R241" s="13"/>
      <x:c r="S241" s="13"/>
      <x:c r="T241" s="13"/>
      <x:c r="U241" s="14"/>
      <x:c r="V241" s="14"/>
      <x:c r="W241" s="16"/>
      <x:c r="X241" s="16"/>
      <x:c r="Y241" s="14"/>
      <x:c r="Z241" s="66" t="str">
        <x:f t="shared" si="12">IF(A241="","",IF(MAX(LEN(E241),LEN(F241),LEN(G241),LEN(H241))&gt;2*MIN(LEN(E241),LEN(F241),LEN(G241),LEN(H241)),"Review answer lengths",""))</x:f>
      </x:c>
      <x:c r="AA241" s="66" t="str">
        <x:f t="shared" si="13">IF(A241="","",IF(COUNTIF($A$2:$A$301,A241)&gt;1,"Duplicate ID",IF(COUNTIF($D$2:$D$301,D241)&gt;1,"Review repeated text","")))</x:f>
      </x:c>
      <x:c r="AB241" s="66" t="str">
        <x:f t="shared" si="14">IF(A241="","","Unique string or number; no numeric range required")</x:f>
      </x:c>
      <x:c r="AC241" s="66" t="str">
        <x:f>IF(A241="","",IF(OR(B241="",D241="",E241="",F241="",G241="",H241="",J241="",K241="",L241="",M241="",O241="",P241="",AND(I241="",AG241=""),AND(B241&lt;&gt;"repair",B241&lt;&gt;"bridge",C241="")),"INCOMPLETE","CHECK ONLINE"))</x:f>
      </x:c>
      <x:c r="AD241" s="67" t="str">
        <x:f>IF(A241="","",IF(AC241="INCOMPLETE","Fill required fields including RepairSkill and an answer. See Instructions.","Copy all columns with headers to the browser validator for full schema, assets and mode checks."))</x:f>
      </x:c>
      <x:c r="AE241" s="67" t="str">
        <x:f t="shared" si="15">IF(A241="","","https://masteryquests.org/tools/question-bank-validator/")</x:f>
      </x:c>
      <x:c r="AF241" s="60"/>
      <x:c r="AH241" s="60"/>
      <x:c r="AI241" s="60"/>
    </x:row>
    <x:row r="242" ht="45" customHeight="1">
      <x:c r="A242" s="15"/>
      <x:c r="B242" s="15"/>
      <x:c r="C242" s="15"/>
      <x:c r="D242" s="12"/>
      <x:c r="E242" s="12"/>
      <x:c r="F242" s="12"/>
      <x:c r="G242" s="12"/>
      <x:c r="H242" s="12"/>
      <x:c r="I242" s="15"/>
      <x:c r="J242" s="12"/>
      <x:c r="K242" s="12"/>
      <x:c r="L242" s="12"/>
      <x:c r="M242" s="12"/>
      <x:c r="N242" s="12"/>
      <x:c r="O242" s="13"/>
      <x:c r="P242" s="13"/>
      <x:c r="Q242" s="13"/>
      <x:c r="R242" s="13"/>
      <x:c r="S242" s="13"/>
      <x:c r="T242" s="13"/>
      <x:c r="U242" s="14"/>
      <x:c r="V242" s="14"/>
      <x:c r="W242" s="16"/>
      <x:c r="X242" s="16"/>
      <x:c r="Y242" s="14"/>
      <x:c r="Z242" s="66" t="str">
        <x:f t="shared" si="12">IF(A242="","",IF(MAX(LEN(E242),LEN(F242),LEN(G242),LEN(H242))&gt;2*MIN(LEN(E242),LEN(F242),LEN(G242),LEN(H242)),"Review answer lengths",""))</x:f>
      </x:c>
      <x:c r="AA242" s="66" t="str">
        <x:f t="shared" si="13">IF(A242="","",IF(COUNTIF($A$2:$A$301,A242)&gt;1,"Duplicate ID",IF(COUNTIF($D$2:$D$301,D242)&gt;1,"Review repeated text","")))</x:f>
      </x:c>
      <x:c r="AB242" s="66" t="str">
        <x:f t="shared" si="14">IF(A242="","","Unique string or number; no numeric range required")</x:f>
      </x:c>
      <x:c r="AC242" s="66" t="str">
        <x:f>IF(A242="","",IF(OR(B242="",D242="",E242="",F242="",G242="",H242="",J242="",K242="",L242="",M242="",O242="",P242="",AND(I242="",AG242=""),AND(B242&lt;&gt;"repair",B242&lt;&gt;"bridge",C242="")),"INCOMPLETE","CHECK ONLINE"))</x:f>
      </x:c>
      <x:c r="AD242" s="67" t="str">
        <x:f>IF(A242="","",IF(AC242="INCOMPLETE","Fill required fields including RepairSkill and an answer. See Instructions.","Copy all columns with headers to the browser validator for full schema, assets and mode checks."))</x:f>
      </x:c>
      <x:c r="AE242" s="67" t="str">
        <x:f t="shared" si="15">IF(A242="","","https://masteryquests.org/tools/question-bank-validator/")</x:f>
      </x:c>
      <x:c r="AF242" s="60"/>
      <x:c r="AH242" s="60"/>
      <x:c r="AI242" s="60"/>
    </x:row>
    <x:row r="243" ht="45" customHeight="1">
      <x:c r="A243" s="15"/>
      <x:c r="B243" s="15"/>
      <x:c r="C243" s="15"/>
      <x:c r="D243" s="12"/>
      <x:c r="E243" s="12"/>
      <x:c r="F243" s="12"/>
      <x:c r="G243" s="12"/>
      <x:c r="H243" s="12"/>
      <x:c r="I243" s="15"/>
      <x:c r="J243" s="12"/>
      <x:c r="K243" s="12"/>
      <x:c r="L243" s="12"/>
      <x:c r="M243" s="12"/>
      <x:c r="N243" s="12"/>
      <x:c r="O243" s="13"/>
      <x:c r="P243" s="13"/>
      <x:c r="Q243" s="13"/>
      <x:c r="R243" s="13"/>
      <x:c r="S243" s="13"/>
      <x:c r="T243" s="13"/>
      <x:c r="U243" s="14"/>
      <x:c r="V243" s="14"/>
      <x:c r="W243" s="16"/>
      <x:c r="X243" s="16"/>
      <x:c r="Y243" s="14"/>
      <x:c r="Z243" s="66" t="str">
        <x:f t="shared" si="12">IF(A243="","",IF(MAX(LEN(E243),LEN(F243),LEN(G243),LEN(H243))&gt;2*MIN(LEN(E243),LEN(F243),LEN(G243),LEN(H243)),"Review answer lengths",""))</x:f>
      </x:c>
      <x:c r="AA243" s="66" t="str">
        <x:f t="shared" si="13">IF(A243="","",IF(COUNTIF($A$2:$A$301,A243)&gt;1,"Duplicate ID",IF(COUNTIF($D$2:$D$301,D243)&gt;1,"Review repeated text","")))</x:f>
      </x:c>
      <x:c r="AB243" s="66" t="str">
        <x:f t="shared" si="14">IF(A243="","","Unique string or number; no numeric range required")</x:f>
      </x:c>
      <x:c r="AC243" s="66" t="str">
        <x:f>IF(A243="","",IF(OR(B243="",D243="",E243="",F243="",G243="",H243="",J243="",K243="",L243="",M243="",O243="",P243="",AND(I243="",AG243=""),AND(B243&lt;&gt;"repair",B243&lt;&gt;"bridge",C243="")),"INCOMPLETE","CHECK ONLINE"))</x:f>
      </x:c>
      <x:c r="AD243" s="67" t="str">
        <x:f>IF(A243="","",IF(AC243="INCOMPLETE","Fill required fields including RepairSkill and an answer. See Instructions.","Copy all columns with headers to the browser validator for full schema, assets and mode checks."))</x:f>
      </x:c>
      <x:c r="AE243" s="67" t="str">
        <x:f t="shared" si="15">IF(A243="","","https://masteryquests.org/tools/question-bank-validator/")</x:f>
      </x:c>
      <x:c r="AF243" s="60"/>
      <x:c r="AH243" s="60"/>
      <x:c r="AI243" s="60"/>
    </x:row>
    <x:row r="244" ht="45" customHeight="1">
      <x:c r="A244" s="15"/>
      <x:c r="B244" s="15"/>
      <x:c r="C244" s="15"/>
      <x:c r="D244" s="12"/>
      <x:c r="E244" s="12"/>
      <x:c r="F244" s="12"/>
      <x:c r="G244" s="12"/>
      <x:c r="H244" s="12"/>
      <x:c r="I244" s="15"/>
      <x:c r="J244" s="12"/>
      <x:c r="K244" s="12"/>
      <x:c r="L244" s="12"/>
      <x:c r="M244" s="12"/>
      <x:c r="N244" s="12"/>
      <x:c r="O244" s="13"/>
      <x:c r="P244" s="13"/>
      <x:c r="Q244" s="13"/>
      <x:c r="R244" s="13"/>
      <x:c r="S244" s="13"/>
      <x:c r="T244" s="13"/>
      <x:c r="U244" s="14"/>
      <x:c r="V244" s="14"/>
      <x:c r="W244" s="16"/>
      <x:c r="X244" s="16"/>
      <x:c r="Y244" s="14"/>
      <x:c r="Z244" s="66" t="str">
        <x:f t="shared" si="12">IF(A244="","",IF(MAX(LEN(E244),LEN(F244),LEN(G244),LEN(H244))&gt;2*MIN(LEN(E244),LEN(F244),LEN(G244),LEN(H244)),"Review answer lengths",""))</x:f>
      </x:c>
      <x:c r="AA244" s="66" t="str">
        <x:f t="shared" si="13">IF(A244="","",IF(COUNTIF($A$2:$A$301,A244)&gt;1,"Duplicate ID",IF(COUNTIF($D$2:$D$301,D244)&gt;1,"Review repeated text","")))</x:f>
      </x:c>
      <x:c r="AB244" s="66" t="str">
        <x:f t="shared" si="14">IF(A244="","","Unique string or number; no numeric range required")</x:f>
      </x:c>
      <x:c r="AC244" s="66" t="str">
        <x:f>IF(A244="","",IF(OR(B244="",D244="",E244="",F244="",G244="",H244="",J244="",K244="",L244="",M244="",O244="",P244="",AND(I244="",AG244=""),AND(B244&lt;&gt;"repair",B244&lt;&gt;"bridge",C244="")),"INCOMPLETE","CHECK ONLINE"))</x:f>
      </x:c>
      <x:c r="AD244" s="67" t="str">
        <x:f>IF(A244="","",IF(AC244="INCOMPLETE","Fill required fields including RepairSkill and an answer. See Instructions.","Copy all columns with headers to the browser validator for full schema, assets and mode checks."))</x:f>
      </x:c>
      <x:c r="AE244" s="67" t="str">
        <x:f t="shared" si="15">IF(A244="","","https://masteryquests.org/tools/question-bank-validator/")</x:f>
      </x:c>
      <x:c r="AF244" s="60"/>
      <x:c r="AH244" s="60"/>
      <x:c r="AI244" s="60"/>
    </x:row>
    <x:row r="245" ht="45" customHeight="1">
      <x:c r="A245" s="15"/>
      <x:c r="B245" s="15"/>
      <x:c r="C245" s="15"/>
      <x:c r="D245" s="12"/>
      <x:c r="E245" s="12"/>
      <x:c r="F245" s="12"/>
      <x:c r="G245" s="12"/>
      <x:c r="H245" s="12"/>
      <x:c r="I245" s="15"/>
      <x:c r="J245" s="12"/>
      <x:c r="K245" s="12"/>
      <x:c r="L245" s="12"/>
      <x:c r="M245" s="12"/>
      <x:c r="N245" s="12"/>
      <x:c r="O245" s="13"/>
      <x:c r="P245" s="13"/>
      <x:c r="Q245" s="13"/>
      <x:c r="R245" s="13"/>
      <x:c r="S245" s="13"/>
      <x:c r="T245" s="13"/>
      <x:c r="U245" s="14"/>
      <x:c r="V245" s="14"/>
      <x:c r="W245" s="16"/>
      <x:c r="X245" s="16"/>
      <x:c r="Y245" s="14"/>
      <x:c r="Z245" s="66" t="str">
        <x:f t="shared" si="12">IF(A245="","",IF(MAX(LEN(E245),LEN(F245),LEN(G245),LEN(H245))&gt;2*MIN(LEN(E245),LEN(F245),LEN(G245),LEN(H245)),"Review answer lengths",""))</x:f>
      </x:c>
      <x:c r="AA245" s="66" t="str">
        <x:f t="shared" si="13">IF(A245="","",IF(COUNTIF($A$2:$A$301,A245)&gt;1,"Duplicate ID",IF(COUNTIF($D$2:$D$301,D245)&gt;1,"Review repeated text","")))</x:f>
      </x:c>
      <x:c r="AB245" s="66" t="str">
        <x:f t="shared" si="14">IF(A245="","","Unique string or number; no numeric range required")</x:f>
      </x:c>
      <x:c r="AC245" s="66" t="str">
        <x:f>IF(A245="","",IF(OR(B245="",D245="",E245="",F245="",G245="",H245="",J245="",K245="",L245="",M245="",O245="",P245="",AND(I245="",AG245=""),AND(B245&lt;&gt;"repair",B245&lt;&gt;"bridge",C245="")),"INCOMPLETE","CHECK ONLINE"))</x:f>
      </x:c>
      <x:c r="AD245" s="67" t="str">
        <x:f>IF(A245="","",IF(AC245="INCOMPLETE","Fill required fields including RepairSkill and an answer. See Instructions.","Copy all columns with headers to the browser validator for full schema, assets and mode checks."))</x:f>
      </x:c>
      <x:c r="AE245" s="67" t="str">
        <x:f t="shared" si="15">IF(A245="","","https://masteryquests.org/tools/question-bank-validator/")</x:f>
      </x:c>
      <x:c r="AF245" s="60"/>
      <x:c r="AH245" s="60"/>
      <x:c r="AI245" s="60"/>
    </x:row>
    <x:row r="246" ht="45" customHeight="1">
      <x:c r="A246" s="15"/>
      <x:c r="B246" s="15"/>
      <x:c r="C246" s="15"/>
      <x:c r="D246" s="12"/>
      <x:c r="E246" s="12"/>
      <x:c r="F246" s="12"/>
      <x:c r="G246" s="12"/>
      <x:c r="H246" s="12"/>
      <x:c r="I246" s="15"/>
      <x:c r="J246" s="12"/>
      <x:c r="K246" s="12"/>
      <x:c r="L246" s="12"/>
      <x:c r="M246" s="12"/>
      <x:c r="N246" s="12"/>
      <x:c r="O246" s="13"/>
      <x:c r="P246" s="13"/>
      <x:c r="Q246" s="13"/>
      <x:c r="R246" s="13"/>
      <x:c r="S246" s="13"/>
      <x:c r="T246" s="13"/>
      <x:c r="U246" s="14"/>
      <x:c r="V246" s="14"/>
      <x:c r="W246" s="16"/>
      <x:c r="X246" s="16"/>
      <x:c r="Y246" s="14"/>
      <x:c r="Z246" s="66" t="str">
        <x:f t="shared" si="12">IF(A246="","",IF(MAX(LEN(E246),LEN(F246),LEN(G246),LEN(H246))&gt;2*MIN(LEN(E246),LEN(F246),LEN(G246),LEN(H246)),"Review answer lengths",""))</x:f>
      </x:c>
      <x:c r="AA246" s="66" t="str">
        <x:f t="shared" si="13">IF(A246="","",IF(COUNTIF($A$2:$A$301,A246)&gt;1,"Duplicate ID",IF(COUNTIF($D$2:$D$301,D246)&gt;1,"Review repeated text","")))</x:f>
      </x:c>
      <x:c r="AB246" s="66" t="str">
        <x:f t="shared" si="14">IF(A246="","","Unique string or number; no numeric range required")</x:f>
      </x:c>
      <x:c r="AC246" s="66" t="str">
        <x:f>IF(A246="","",IF(OR(B246="",D246="",E246="",F246="",G246="",H246="",J246="",K246="",L246="",M246="",O246="",P246="",AND(I246="",AG246=""),AND(B246&lt;&gt;"repair",B246&lt;&gt;"bridge",C246="")),"INCOMPLETE","CHECK ONLINE"))</x:f>
      </x:c>
      <x:c r="AD246" s="67" t="str">
        <x:f>IF(A246="","",IF(AC246="INCOMPLETE","Fill required fields including RepairSkill and an answer. See Instructions.","Copy all columns with headers to the browser validator for full schema, assets and mode checks."))</x:f>
      </x:c>
      <x:c r="AE246" s="67" t="str">
        <x:f t="shared" si="15">IF(A246="","","https://masteryquests.org/tools/question-bank-validator/")</x:f>
      </x:c>
      <x:c r="AF246" s="60"/>
      <x:c r="AH246" s="60"/>
      <x:c r="AI246" s="60"/>
    </x:row>
    <x:row r="247" ht="45" customHeight="1">
      <x:c r="A247" s="15"/>
      <x:c r="B247" s="15"/>
      <x:c r="C247" s="15"/>
      <x:c r="D247" s="12"/>
      <x:c r="E247" s="12"/>
      <x:c r="F247" s="12"/>
      <x:c r="G247" s="12"/>
      <x:c r="H247" s="12"/>
      <x:c r="I247" s="15"/>
      <x:c r="J247" s="12"/>
      <x:c r="K247" s="12"/>
      <x:c r="L247" s="12"/>
      <x:c r="M247" s="12"/>
      <x:c r="N247" s="12"/>
      <x:c r="O247" s="13"/>
      <x:c r="P247" s="13"/>
      <x:c r="Q247" s="13"/>
      <x:c r="R247" s="13"/>
      <x:c r="S247" s="13"/>
      <x:c r="T247" s="13"/>
      <x:c r="U247" s="14"/>
      <x:c r="V247" s="14"/>
      <x:c r="W247" s="16"/>
      <x:c r="X247" s="16"/>
      <x:c r="Y247" s="14"/>
      <x:c r="Z247" s="66" t="str">
        <x:f t="shared" si="12">IF(A247="","",IF(MAX(LEN(E247),LEN(F247),LEN(G247),LEN(H247))&gt;2*MIN(LEN(E247),LEN(F247),LEN(G247),LEN(H247)),"Review answer lengths",""))</x:f>
      </x:c>
      <x:c r="AA247" s="66" t="str">
        <x:f t="shared" si="13">IF(A247="","",IF(COUNTIF($A$2:$A$301,A247)&gt;1,"Duplicate ID",IF(COUNTIF($D$2:$D$301,D247)&gt;1,"Review repeated text","")))</x:f>
      </x:c>
      <x:c r="AB247" s="66" t="str">
        <x:f t="shared" si="14">IF(A247="","","Unique string or number; no numeric range required")</x:f>
      </x:c>
      <x:c r="AC247" s="66" t="str">
        <x:f>IF(A247="","",IF(OR(B247="",D247="",E247="",F247="",G247="",H247="",J247="",K247="",L247="",M247="",O247="",P247="",AND(I247="",AG247=""),AND(B247&lt;&gt;"repair",B247&lt;&gt;"bridge",C247="")),"INCOMPLETE","CHECK ONLINE"))</x:f>
      </x:c>
      <x:c r="AD247" s="67" t="str">
        <x:f>IF(A247="","",IF(AC247="INCOMPLETE","Fill required fields including RepairSkill and an answer. See Instructions.","Copy all columns with headers to the browser validator for full schema, assets and mode checks."))</x:f>
      </x:c>
      <x:c r="AE247" s="67" t="str">
        <x:f t="shared" si="15">IF(A247="","","https://masteryquests.org/tools/question-bank-validator/")</x:f>
      </x:c>
      <x:c r="AF247" s="60"/>
      <x:c r="AH247" s="60"/>
      <x:c r="AI247" s="60"/>
    </x:row>
    <x:row r="248" ht="45" customHeight="1">
      <x:c r="A248" s="15"/>
      <x:c r="B248" s="15"/>
      <x:c r="C248" s="15"/>
      <x:c r="D248" s="12"/>
      <x:c r="E248" s="12"/>
      <x:c r="F248" s="12"/>
      <x:c r="G248" s="12"/>
      <x:c r="H248" s="12"/>
      <x:c r="I248" s="15"/>
      <x:c r="J248" s="12"/>
      <x:c r="K248" s="12"/>
      <x:c r="L248" s="12"/>
      <x:c r="M248" s="12"/>
      <x:c r="N248" s="12"/>
      <x:c r="O248" s="13"/>
      <x:c r="P248" s="13"/>
      <x:c r="Q248" s="13"/>
      <x:c r="R248" s="13"/>
      <x:c r="S248" s="13"/>
      <x:c r="T248" s="13"/>
      <x:c r="U248" s="14"/>
      <x:c r="V248" s="14"/>
      <x:c r="W248" s="16"/>
      <x:c r="X248" s="16"/>
      <x:c r="Y248" s="14"/>
      <x:c r="Z248" s="66" t="str">
        <x:f t="shared" si="12">IF(A248="","",IF(MAX(LEN(E248),LEN(F248),LEN(G248),LEN(H248))&gt;2*MIN(LEN(E248),LEN(F248),LEN(G248),LEN(H248)),"Review answer lengths",""))</x:f>
      </x:c>
      <x:c r="AA248" s="66" t="str">
        <x:f t="shared" si="13">IF(A248="","",IF(COUNTIF($A$2:$A$301,A248)&gt;1,"Duplicate ID",IF(COUNTIF($D$2:$D$301,D248)&gt;1,"Review repeated text","")))</x:f>
      </x:c>
      <x:c r="AB248" s="66" t="str">
        <x:f t="shared" si="14">IF(A248="","","Unique string or number; no numeric range required")</x:f>
      </x:c>
      <x:c r="AC248" s="66" t="str">
        <x:f>IF(A248="","",IF(OR(B248="",D248="",E248="",F248="",G248="",H248="",J248="",K248="",L248="",M248="",O248="",P248="",AND(I248="",AG248=""),AND(B248&lt;&gt;"repair",B248&lt;&gt;"bridge",C248="")),"INCOMPLETE","CHECK ONLINE"))</x:f>
      </x:c>
      <x:c r="AD248" s="67" t="str">
        <x:f>IF(A248="","",IF(AC248="INCOMPLETE","Fill required fields including RepairSkill and an answer. See Instructions.","Copy all columns with headers to the browser validator for full schema, assets and mode checks."))</x:f>
      </x:c>
      <x:c r="AE248" s="67" t="str">
        <x:f t="shared" si="15">IF(A248="","","https://masteryquests.org/tools/question-bank-validator/")</x:f>
      </x:c>
      <x:c r="AF248" s="60"/>
      <x:c r="AH248" s="60"/>
      <x:c r="AI248" s="60"/>
    </x:row>
    <x:row r="249" ht="45" customHeight="1">
      <x:c r="A249" s="15"/>
      <x:c r="B249" s="15"/>
      <x:c r="C249" s="15"/>
      <x:c r="D249" s="12"/>
      <x:c r="E249" s="12"/>
      <x:c r="F249" s="12"/>
      <x:c r="G249" s="12"/>
      <x:c r="H249" s="12"/>
      <x:c r="I249" s="15"/>
      <x:c r="J249" s="12"/>
      <x:c r="K249" s="12"/>
      <x:c r="L249" s="12"/>
      <x:c r="M249" s="12"/>
      <x:c r="N249" s="12"/>
      <x:c r="O249" s="13"/>
      <x:c r="P249" s="13"/>
      <x:c r="Q249" s="13"/>
      <x:c r="R249" s="13"/>
      <x:c r="S249" s="13"/>
      <x:c r="T249" s="13"/>
      <x:c r="U249" s="14"/>
      <x:c r="V249" s="14"/>
      <x:c r="W249" s="16"/>
      <x:c r="X249" s="16"/>
      <x:c r="Y249" s="14"/>
      <x:c r="Z249" s="66" t="str">
        <x:f t="shared" si="12">IF(A249="","",IF(MAX(LEN(E249),LEN(F249),LEN(G249),LEN(H249))&gt;2*MIN(LEN(E249),LEN(F249),LEN(G249),LEN(H249)),"Review answer lengths",""))</x:f>
      </x:c>
      <x:c r="AA249" s="66" t="str">
        <x:f t="shared" si="13">IF(A249="","",IF(COUNTIF($A$2:$A$301,A249)&gt;1,"Duplicate ID",IF(COUNTIF($D$2:$D$301,D249)&gt;1,"Review repeated text","")))</x:f>
      </x:c>
      <x:c r="AB249" s="66" t="str">
        <x:f t="shared" si="14">IF(A249="","","Unique string or number; no numeric range required")</x:f>
      </x:c>
      <x:c r="AC249" s="66" t="str">
        <x:f>IF(A249="","",IF(OR(B249="",D249="",E249="",F249="",G249="",H249="",J249="",K249="",L249="",M249="",O249="",P249="",AND(I249="",AG249=""),AND(B249&lt;&gt;"repair",B249&lt;&gt;"bridge",C249="")),"INCOMPLETE","CHECK ONLINE"))</x:f>
      </x:c>
      <x:c r="AD249" s="67" t="str">
        <x:f>IF(A249="","",IF(AC249="INCOMPLETE","Fill required fields including RepairSkill and an answer. See Instructions.","Copy all columns with headers to the browser validator for full schema, assets and mode checks."))</x:f>
      </x:c>
      <x:c r="AE249" s="67" t="str">
        <x:f t="shared" si="15">IF(A249="","","https://masteryquests.org/tools/question-bank-validator/")</x:f>
      </x:c>
      <x:c r="AF249" s="60"/>
      <x:c r="AH249" s="60"/>
      <x:c r="AI249" s="60"/>
    </x:row>
    <x:row r="250" ht="45" customHeight="1">
      <x:c r="A250" s="15"/>
      <x:c r="B250" s="15"/>
      <x:c r="C250" s="15"/>
      <x:c r="D250" s="12"/>
      <x:c r="E250" s="12"/>
      <x:c r="F250" s="12"/>
      <x:c r="G250" s="12"/>
      <x:c r="H250" s="12"/>
      <x:c r="I250" s="15"/>
      <x:c r="J250" s="12"/>
      <x:c r="K250" s="12"/>
      <x:c r="L250" s="12"/>
      <x:c r="M250" s="12"/>
      <x:c r="N250" s="12"/>
      <x:c r="O250" s="13"/>
      <x:c r="P250" s="13"/>
      <x:c r="Q250" s="13"/>
      <x:c r="R250" s="13"/>
      <x:c r="S250" s="13"/>
      <x:c r="T250" s="13"/>
      <x:c r="U250" s="14"/>
      <x:c r="V250" s="14"/>
      <x:c r="W250" s="16"/>
      <x:c r="X250" s="16"/>
      <x:c r="Y250" s="14"/>
      <x:c r="Z250" s="66" t="str">
        <x:f t="shared" si="12">IF(A250="","",IF(MAX(LEN(E250),LEN(F250),LEN(G250),LEN(H250))&gt;2*MIN(LEN(E250),LEN(F250),LEN(G250),LEN(H250)),"Review answer lengths",""))</x:f>
      </x:c>
      <x:c r="AA250" s="66" t="str">
        <x:f t="shared" si="13">IF(A250="","",IF(COUNTIF($A$2:$A$301,A250)&gt;1,"Duplicate ID",IF(COUNTIF($D$2:$D$301,D250)&gt;1,"Review repeated text","")))</x:f>
      </x:c>
      <x:c r="AB250" s="66" t="str">
        <x:f t="shared" si="14">IF(A250="","","Unique string or number; no numeric range required")</x:f>
      </x:c>
      <x:c r="AC250" s="66" t="str">
        <x:f>IF(A250="","",IF(OR(B250="",D250="",E250="",F250="",G250="",H250="",J250="",K250="",L250="",M250="",O250="",P250="",AND(I250="",AG250=""),AND(B250&lt;&gt;"repair",B250&lt;&gt;"bridge",C250="")),"INCOMPLETE","CHECK ONLINE"))</x:f>
      </x:c>
      <x:c r="AD250" s="67" t="str">
        <x:f>IF(A250="","",IF(AC250="INCOMPLETE","Fill required fields including RepairSkill and an answer. See Instructions.","Copy all columns with headers to the browser validator for full schema, assets and mode checks."))</x:f>
      </x:c>
      <x:c r="AE250" s="67" t="str">
        <x:f t="shared" si="15">IF(A250="","","https://masteryquests.org/tools/question-bank-validator/")</x:f>
      </x:c>
      <x:c r="AF250" s="60"/>
      <x:c r="AH250" s="60"/>
      <x:c r="AI250" s="60"/>
    </x:row>
    <x:row r="251" ht="45" customHeight="1">
      <x:c r="A251" s="15"/>
      <x:c r="B251" s="15"/>
      <x:c r="C251" s="15"/>
      <x:c r="D251" s="12"/>
      <x:c r="E251" s="12"/>
      <x:c r="F251" s="12"/>
      <x:c r="G251" s="12"/>
      <x:c r="H251" s="12"/>
      <x:c r="I251" s="15"/>
      <x:c r="J251" s="12"/>
      <x:c r="K251" s="12"/>
      <x:c r="L251" s="12"/>
      <x:c r="M251" s="12"/>
      <x:c r="N251" s="12"/>
      <x:c r="O251" s="13"/>
      <x:c r="P251" s="13"/>
      <x:c r="Q251" s="13"/>
      <x:c r="R251" s="13"/>
      <x:c r="S251" s="13"/>
      <x:c r="T251" s="13"/>
      <x:c r="U251" s="14"/>
      <x:c r="V251" s="14"/>
      <x:c r="W251" s="16"/>
      <x:c r="X251" s="16"/>
      <x:c r="Y251" s="14"/>
      <x:c r="Z251" s="66" t="str">
        <x:f t="shared" si="12">IF(A251="","",IF(MAX(LEN(E251),LEN(F251),LEN(G251),LEN(H251))&gt;2*MIN(LEN(E251),LEN(F251),LEN(G251),LEN(H251)),"Review answer lengths",""))</x:f>
      </x:c>
      <x:c r="AA251" s="66" t="str">
        <x:f t="shared" si="13">IF(A251="","",IF(COUNTIF($A$2:$A$301,A251)&gt;1,"Duplicate ID",IF(COUNTIF($D$2:$D$301,D251)&gt;1,"Review repeated text","")))</x:f>
      </x:c>
      <x:c r="AB251" s="66" t="str">
        <x:f t="shared" si="14">IF(A251="","","Unique string or number; no numeric range required")</x:f>
      </x:c>
      <x:c r="AC251" s="66" t="str">
        <x:f>IF(A251="","",IF(OR(B251="",D251="",E251="",F251="",G251="",H251="",J251="",K251="",L251="",M251="",O251="",P251="",AND(I251="",AG251=""),AND(B251&lt;&gt;"repair",B251&lt;&gt;"bridge",C251="")),"INCOMPLETE","CHECK ONLINE"))</x:f>
      </x:c>
      <x:c r="AD251" s="67" t="str">
        <x:f>IF(A251="","",IF(AC251="INCOMPLETE","Fill required fields including RepairSkill and an answer. See Instructions.","Copy all columns with headers to the browser validator for full schema, assets and mode checks."))</x:f>
      </x:c>
      <x:c r="AE251" s="67" t="str">
        <x:f t="shared" si="15">IF(A251="","","https://masteryquests.org/tools/question-bank-validator/")</x:f>
      </x:c>
      <x:c r="AF251" s="60"/>
      <x:c r="AH251" s="60"/>
      <x:c r="AI251" s="60"/>
    </x:row>
    <x:row r="252" ht="45" customHeight="1">
      <x:c r="A252" s="15"/>
      <x:c r="B252" s="15"/>
      <x:c r="C252" s="15"/>
      <x:c r="D252" s="12"/>
      <x:c r="E252" s="12"/>
      <x:c r="F252" s="12"/>
      <x:c r="G252" s="12"/>
      <x:c r="H252" s="12"/>
      <x:c r="I252" s="15"/>
      <x:c r="J252" s="12"/>
      <x:c r="K252" s="12"/>
      <x:c r="L252" s="12"/>
      <x:c r="M252" s="12"/>
      <x:c r="N252" s="12"/>
      <x:c r="O252" s="13"/>
      <x:c r="P252" s="13"/>
      <x:c r="Q252" s="13"/>
      <x:c r="R252" s="13"/>
      <x:c r="S252" s="13"/>
      <x:c r="T252" s="13"/>
      <x:c r="U252" s="14"/>
      <x:c r="V252" s="14"/>
      <x:c r="W252" s="16"/>
      <x:c r="X252" s="16"/>
      <x:c r="Y252" s="14"/>
      <x:c r="Z252" s="66" t="str">
        <x:f t="shared" si="12">IF(A252="","",IF(MAX(LEN(E252),LEN(F252),LEN(G252),LEN(H252))&gt;2*MIN(LEN(E252),LEN(F252),LEN(G252),LEN(H252)),"Review answer lengths",""))</x:f>
      </x:c>
      <x:c r="AA252" s="66" t="str">
        <x:f t="shared" si="13">IF(A252="","",IF(COUNTIF($A$2:$A$301,A252)&gt;1,"Duplicate ID",IF(COUNTIF($D$2:$D$301,D252)&gt;1,"Review repeated text","")))</x:f>
      </x:c>
      <x:c r="AB252" s="66" t="str">
        <x:f t="shared" si="14">IF(A252="","","Unique string or number; no numeric range required")</x:f>
      </x:c>
      <x:c r="AC252" s="66" t="str">
        <x:f>IF(A252="","",IF(OR(B252="",D252="",E252="",F252="",G252="",H252="",J252="",K252="",L252="",M252="",O252="",P252="",AND(I252="",AG252=""),AND(B252&lt;&gt;"repair",B252&lt;&gt;"bridge",C252="")),"INCOMPLETE","CHECK ONLINE"))</x:f>
      </x:c>
      <x:c r="AD252" s="67" t="str">
        <x:f>IF(A252="","",IF(AC252="INCOMPLETE","Fill required fields including RepairSkill and an answer. See Instructions.","Copy all columns with headers to the browser validator for full schema, assets and mode checks."))</x:f>
      </x:c>
      <x:c r="AE252" s="67" t="str">
        <x:f t="shared" si="15">IF(A252="","","https://masteryquests.org/tools/question-bank-validator/")</x:f>
      </x:c>
      <x:c r="AF252" s="60"/>
      <x:c r="AH252" s="60"/>
      <x:c r="AI252" s="60"/>
    </x:row>
    <x:row r="253" ht="45" customHeight="1">
      <x:c r="A253" s="15"/>
      <x:c r="B253" s="15"/>
      <x:c r="C253" s="15"/>
      <x:c r="D253" s="12"/>
      <x:c r="E253" s="12"/>
      <x:c r="F253" s="12"/>
      <x:c r="G253" s="12"/>
      <x:c r="H253" s="12"/>
      <x:c r="I253" s="15"/>
      <x:c r="J253" s="12"/>
      <x:c r="K253" s="12"/>
      <x:c r="L253" s="12"/>
      <x:c r="M253" s="12"/>
      <x:c r="N253" s="12"/>
      <x:c r="O253" s="13"/>
      <x:c r="P253" s="13"/>
      <x:c r="Q253" s="13"/>
      <x:c r="R253" s="13"/>
      <x:c r="S253" s="13"/>
      <x:c r="T253" s="13"/>
      <x:c r="U253" s="14"/>
      <x:c r="V253" s="14"/>
      <x:c r="W253" s="16"/>
      <x:c r="X253" s="16"/>
      <x:c r="Y253" s="14"/>
      <x:c r="Z253" s="66" t="str">
        <x:f t="shared" si="12">IF(A253="","",IF(MAX(LEN(E253),LEN(F253),LEN(G253),LEN(H253))&gt;2*MIN(LEN(E253),LEN(F253),LEN(G253),LEN(H253)),"Review answer lengths",""))</x:f>
      </x:c>
      <x:c r="AA253" s="66" t="str">
        <x:f t="shared" si="13">IF(A253="","",IF(COUNTIF($A$2:$A$301,A253)&gt;1,"Duplicate ID",IF(COUNTIF($D$2:$D$301,D253)&gt;1,"Review repeated text","")))</x:f>
      </x:c>
      <x:c r="AB253" s="66" t="str">
        <x:f t="shared" si="14">IF(A253="","","Unique string or number; no numeric range required")</x:f>
      </x:c>
      <x:c r="AC253" s="66" t="str">
        <x:f>IF(A253="","",IF(OR(B253="",D253="",E253="",F253="",G253="",H253="",J253="",K253="",L253="",M253="",O253="",P253="",AND(I253="",AG253=""),AND(B253&lt;&gt;"repair",B253&lt;&gt;"bridge",C253="")),"INCOMPLETE","CHECK ONLINE"))</x:f>
      </x:c>
      <x:c r="AD253" s="67" t="str">
        <x:f>IF(A253="","",IF(AC253="INCOMPLETE","Fill required fields including RepairSkill and an answer. See Instructions.","Copy all columns with headers to the browser validator for full schema, assets and mode checks."))</x:f>
      </x:c>
      <x:c r="AE253" s="67" t="str">
        <x:f t="shared" si="15">IF(A253="","","https://masteryquests.org/tools/question-bank-validator/")</x:f>
      </x:c>
      <x:c r="AF253" s="60"/>
      <x:c r="AH253" s="60"/>
      <x:c r="AI253" s="60"/>
    </x:row>
    <x:row r="254" ht="45" customHeight="1">
      <x:c r="A254" s="15"/>
      <x:c r="B254" s="15"/>
      <x:c r="C254" s="15"/>
      <x:c r="D254" s="12"/>
      <x:c r="E254" s="12"/>
      <x:c r="F254" s="12"/>
      <x:c r="G254" s="12"/>
      <x:c r="H254" s="12"/>
      <x:c r="I254" s="15"/>
      <x:c r="J254" s="12"/>
      <x:c r="K254" s="12"/>
      <x:c r="L254" s="12"/>
      <x:c r="M254" s="12"/>
      <x:c r="N254" s="12"/>
      <x:c r="O254" s="13"/>
      <x:c r="P254" s="13"/>
      <x:c r="Q254" s="13"/>
      <x:c r="R254" s="13"/>
      <x:c r="S254" s="13"/>
      <x:c r="T254" s="13"/>
      <x:c r="U254" s="14"/>
      <x:c r="V254" s="14"/>
      <x:c r="W254" s="16"/>
      <x:c r="X254" s="16"/>
      <x:c r="Y254" s="14"/>
      <x:c r="Z254" s="66" t="str">
        <x:f t="shared" si="12">IF(A254="","",IF(MAX(LEN(E254),LEN(F254),LEN(G254),LEN(H254))&gt;2*MIN(LEN(E254),LEN(F254),LEN(G254),LEN(H254)),"Review answer lengths",""))</x:f>
      </x:c>
      <x:c r="AA254" s="66" t="str">
        <x:f t="shared" si="13">IF(A254="","",IF(COUNTIF($A$2:$A$301,A254)&gt;1,"Duplicate ID",IF(COUNTIF($D$2:$D$301,D254)&gt;1,"Review repeated text","")))</x:f>
      </x:c>
      <x:c r="AB254" s="66" t="str">
        <x:f t="shared" si="14">IF(A254="","","Unique string or number; no numeric range required")</x:f>
      </x:c>
      <x:c r="AC254" s="66" t="str">
        <x:f>IF(A254="","",IF(OR(B254="",D254="",E254="",F254="",G254="",H254="",J254="",K254="",L254="",M254="",O254="",P254="",AND(I254="",AG254=""),AND(B254&lt;&gt;"repair",B254&lt;&gt;"bridge",C254="")),"INCOMPLETE","CHECK ONLINE"))</x:f>
      </x:c>
      <x:c r="AD254" s="67" t="str">
        <x:f>IF(A254="","",IF(AC254="INCOMPLETE","Fill required fields including RepairSkill and an answer. See Instructions.","Copy all columns with headers to the browser validator for full schema, assets and mode checks."))</x:f>
      </x:c>
      <x:c r="AE254" s="67" t="str">
        <x:f t="shared" si="15">IF(A254="","","https://masteryquests.org/tools/question-bank-validator/")</x:f>
      </x:c>
      <x:c r="AF254" s="60"/>
      <x:c r="AH254" s="60"/>
      <x:c r="AI254" s="60"/>
    </x:row>
    <x:row r="255" ht="45" customHeight="1">
      <x:c r="A255" s="15"/>
      <x:c r="B255" s="15"/>
      <x:c r="C255" s="15"/>
      <x:c r="D255" s="12"/>
      <x:c r="E255" s="12"/>
      <x:c r="F255" s="12"/>
      <x:c r="G255" s="12"/>
      <x:c r="H255" s="12"/>
      <x:c r="I255" s="15"/>
      <x:c r="J255" s="12"/>
      <x:c r="K255" s="12"/>
      <x:c r="L255" s="12"/>
      <x:c r="M255" s="12"/>
      <x:c r="N255" s="12"/>
      <x:c r="O255" s="13"/>
      <x:c r="P255" s="13"/>
      <x:c r="Q255" s="13"/>
      <x:c r="R255" s="13"/>
      <x:c r="S255" s="13"/>
      <x:c r="T255" s="13"/>
      <x:c r="U255" s="14"/>
      <x:c r="V255" s="14"/>
      <x:c r="W255" s="16"/>
      <x:c r="X255" s="16"/>
      <x:c r="Y255" s="14"/>
      <x:c r="Z255" s="66" t="str">
        <x:f t="shared" si="12">IF(A255="","",IF(MAX(LEN(E255),LEN(F255),LEN(G255),LEN(H255))&gt;2*MIN(LEN(E255),LEN(F255),LEN(G255),LEN(H255)),"Review answer lengths",""))</x:f>
      </x:c>
      <x:c r="AA255" s="66" t="str">
        <x:f t="shared" si="13">IF(A255="","",IF(COUNTIF($A$2:$A$301,A255)&gt;1,"Duplicate ID",IF(COUNTIF($D$2:$D$301,D255)&gt;1,"Review repeated text","")))</x:f>
      </x:c>
      <x:c r="AB255" s="66" t="str">
        <x:f t="shared" si="14">IF(A255="","","Unique string or number; no numeric range required")</x:f>
      </x:c>
      <x:c r="AC255" s="66" t="str">
        <x:f>IF(A255="","",IF(OR(B255="",D255="",E255="",F255="",G255="",H255="",J255="",K255="",L255="",M255="",O255="",P255="",AND(I255="",AG255=""),AND(B255&lt;&gt;"repair",B255&lt;&gt;"bridge",C255="")),"INCOMPLETE","CHECK ONLINE"))</x:f>
      </x:c>
      <x:c r="AD255" s="67" t="str">
        <x:f>IF(A255="","",IF(AC255="INCOMPLETE","Fill required fields including RepairSkill and an answer. See Instructions.","Copy all columns with headers to the browser validator for full schema, assets and mode checks."))</x:f>
      </x:c>
      <x:c r="AE255" s="67" t="str">
        <x:f t="shared" si="15">IF(A255="","","https://masteryquests.org/tools/question-bank-validator/")</x:f>
      </x:c>
      <x:c r="AF255" s="60"/>
      <x:c r="AH255" s="60"/>
      <x:c r="AI255" s="60"/>
    </x:row>
    <x:row r="256" ht="45" customHeight="1">
      <x:c r="A256" s="15"/>
      <x:c r="B256" s="15"/>
      <x:c r="C256" s="15"/>
      <x:c r="D256" s="12"/>
      <x:c r="E256" s="12"/>
      <x:c r="F256" s="12"/>
      <x:c r="G256" s="12"/>
      <x:c r="H256" s="12"/>
      <x:c r="I256" s="15"/>
      <x:c r="J256" s="12"/>
      <x:c r="K256" s="12"/>
      <x:c r="L256" s="12"/>
      <x:c r="M256" s="12"/>
      <x:c r="N256" s="12"/>
      <x:c r="O256" s="13"/>
      <x:c r="P256" s="13"/>
      <x:c r="Q256" s="13"/>
      <x:c r="R256" s="13"/>
      <x:c r="S256" s="13"/>
      <x:c r="T256" s="13"/>
      <x:c r="U256" s="14"/>
      <x:c r="V256" s="14"/>
      <x:c r="W256" s="16"/>
      <x:c r="X256" s="16"/>
      <x:c r="Y256" s="14"/>
      <x:c r="Z256" s="66" t="str">
        <x:f t="shared" si="12">IF(A256="","",IF(MAX(LEN(E256),LEN(F256),LEN(G256),LEN(H256))&gt;2*MIN(LEN(E256),LEN(F256),LEN(G256),LEN(H256)),"Review answer lengths",""))</x:f>
      </x:c>
      <x:c r="AA256" s="66" t="str">
        <x:f t="shared" si="13">IF(A256="","",IF(COUNTIF($A$2:$A$301,A256)&gt;1,"Duplicate ID",IF(COUNTIF($D$2:$D$301,D256)&gt;1,"Review repeated text","")))</x:f>
      </x:c>
      <x:c r="AB256" s="66" t="str">
        <x:f t="shared" si="14">IF(A256="","","Unique string or number; no numeric range required")</x:f>
      </x:c>
      <x:c r="AC256" s="66" t="str">
        <x:f>IF(A256="","",IF(OR(B256="",D256="",E256="",F256="",G256="",H256="",J256="",K256="",L256="",M256="",O256="",P256="",AND(I256="",AG256=""),AND(B256&lt;&gt;"repair",B256&lt;&gt;"bridge",C256="")),"INCOMPLETE","CHECK ONLINE"))</x:f>
      </x:c>
      <x:c r="AD256" s="67" t="str">
        <x:f>IF(A256="","",IF(AC256="INCOMPLETE","Fill required fields including RepairSkill and an answer. See Instructions.","Copy all columns with headers to the browser validator for full schema, assets and mode checks."))</x:f>
      </x:c>
      <x:c r="AE256" s="67" t="str">
        <x:f t="shared" si="15">IF(A256="","","https://masteryquests.org/tools/question-bank-validator/")</x:f>
      </x:c>
      <x:c r="AF256" s="60"/>
      <x:c r="AH256" s="60"/>
      <x:c r="AI256" s="60"/>
    </x:row>
    <x:row r="257" ht="45" customHeight="1">
      <x:c r="A257" s="15"/>
      <x:c r="B257" s="15"/>
      <x:c r="C257" s="15"/>
      <x:c r="D257" s="12"/>
      <x:c r="E257" s="12"/>
      <x:c r="F257" s="12"/>
      <x:c r="G257" s="12"/>
      <x:c r="H257" s="12"/>
      <x:c r="I257" s="15"/>
      <x:c r="J257" s="12"/>
      <x:c r="K257" s="12"/>
      <x:c r="L257" s="12"/>
      <x:c r="M257" s="12"/>
      <x:c r="N257" s="12"/>
      <x:c r="O257" s="13"/>
      <x:c r="P257" s="13"/>
      <x:c r="Q257" s="13"/>
      <x:c r="R257" s="13"/>
      <x:c r="S257" s="13"/>
      <x:c r="T257" s="13"/>
      <x:c r="U257" s="14"/>
      <x:c r="V257" s="14"/>
      <x:c r="W257" s="16"/>
      <x:c r="X257" s="16"/>
      <x:c r="Y257" s="14"/>
      <x:c r="Z257" s="66" t="str">
        <x:f t="shared" si="12">IF(A257="","",IF(MAX(LEN(E257),LEN(F257),LEN(G257),LEN(H257))&gt;2*MIN(LEN(E257),LEN(F257),LEN(G257),LEN(H257)),"Review answer lengths",""))</x:f>
      </x:c>
      <x:c r="AA257" s="66" t="str">
        <x:f t="shared" si="13">IF(A257="","",IF(COUNTIF($A$2:$A$301,A257)&gt;1,"Duplicate ID",IF(COUNTIF($D$2:$D$301,D257)&gt;1,"Review repeated text","")))</x:f>
      </x:c>
      <x:c r="AB257" s="66" t="str">
        <x:f t="shared" si="14">IF(A257="","","Unique string or number; no numeric range required")</x:f>
      </x:c>
      <x:c r="AC257" s="66" t="str">
        <x:f>IF(A257="","",IF(OR(B257="",D257="",E257="",F257="",G257="",H257="",J257="",K257="",L257="",M257="",O257="",P257="",AND(I257="",AG257=""),AND(B257&lt;&gt;"repair",B257&lt;&gt;"bridge",C257="")),"INCOMPLETE","CHECK ONLINE"))</x:f>
      </x:c>
      <x:c r="AD257" s="67" t="str">
        <x:f>IF(A257="","",IF(AC257="INCOMPLETE","Fill required fields including RepairSkill and an answer. See Instructions.","Copy all columns with headers to the browser validator for full schema, assets and mode checks."))</x:f>
      </x:c>
      <x:c r="AE257" s="67" t="str">
        <x:f t="shared" si="15">IF(A257="","","https://masteryquests.org/tools/question-bank-validator/")</x:f>
      </x:c>
      <x:c r="AF257" s="60"/>
      <x:c r="AH257" s="60"/>
      <x:c r="AI257" s="60"/>
    </x:row>
    <x:row r="258" ht="45" customHeight="1">
      <x:c r="A258" s="15"/>
      <x:c r="B258" s="15"/>
      <x:c r="C258" s="15"/>
      <x:c r="D258" s="12"/>
      <x:c r="E258" s="12"/>
      <x:c r="F258" s="12"/>
      <x:c r="G258" s="12"/>
      <x:c r="H258" s="12"/>
      <x:c r="I258" s="15"/>
      <x:c r="J258" s="12"/>
      <x:c r="K258" s="12"/>
      <x:c r="L258" s="12"/>
      <x:c r="M258" s="12"/>
      <x:c r="N258" s="12"/>
      <x:c r="O258" s="13"/>
      <x:c r="P258" s="13"/>
      <x:c r="Q258" s="13"/>
      <x:c r="R258" s="13"/>
      <x:c r="S258" s="13"/>
      <x:c r="T258" s="13"/>
      <x:c r="U258" s="14"/>
      <x:c r="V258" s="14"/>
      <x:c r="W258" s="16"/>
      <x:c r="X258" s="16"/>
      <x:c r="Y258" s="14"/>
      <x:c r="Z258" s="66" t="str">
        <x:f t="shared" ref="Z258:Z301" si="16">IF(A258="","",IF(MAX(LEN(E258),LEN(F258),LEN(G258),LEN(H258))&gt;2*MIN(LEN(E258),LEN(F258),LEN(G258),LEN(H258)),"Review answer lengths",""))</x:f>
      </x:c>
      <x:c r="AA258" s="66" t="str">
        <x:f t="shared" ref="AA258:AA301" si="17">IF(A258="","",IF(COUNTIF($A$2:$A$301,A258)&gt;1,"Duplicate ID",IF(COUNTIF($D$2:$D$301,D258)&gt;1,"Review repeated text","")))</x:f>
      </x:c>
      <x:c r="AB258" s="66" t="str">
        <x:f t="shared" ref="AB258:AB301" si="18">IF(A258="","","Unique string or number; no numeric range required")</x:f>
      </x:c>
      <x:c r="AC258" s="66" t="str">
        <x:f>IF(A258="","",IF(OR(B258="",D258="",E258="",F258="",G258="",H258="",J258="",K258="",L258="",M258="",O258="",P258="",AND(I258="",AG258=""),AND(B258&lt;&gt;"repair",B258&lt;&gt;"bridge",C258="")),"INCOMPLETE","CHECK ONLINE"))</x:f>
      </x:c>
      <x:c r="AD258" s="67" t="str">
        <x:f>IF(A258="","",IF(AC258="INCOMPLETE","Fill required fields including RepairSkill and an answer. See Instructions.","Copy all columns with headers to the browser validator for full schema, assets and mode checks."))</x:f>
      </x:c>
      <x:c r="AE258" s="67" t="str">
        <x:f t="shared" ref="AE258:AE301" si="19">IF(A258="","","https://masteryquests.org/tools/question-bank-validator/")</x:f>
      </x:c>
      <x:c r="AF258" s="60"/>
      <x:c r="AH258" s="60"/>
      <x:c r="AI258" s="60"/>
    </x:row>
    <x:row r="259" ht="45" customHeight="1">
      <x:c r="A259" s="15"/>
      <x:c r="B259" s="15"/>
      <x:c r="C259" s="15"/>
      <x:c r="D259" s="12"/>
      <x:c r="E259" s="12"/>
      <x:c r="F259" s="12"/>
      <x:c r="G259" s="12"/>
      <x:c r="H259" s="12"/>
      <x:c r="I259" s="15"/>
      <x:c r="J259" s="12"/>
      <x:c r="K259" s="12"/>
      <x:c r="L259" s="12"/>
      <x:c r="M259" s="12"/>
      <x:c r="N259" s="12"/>
      <x:c r="O259" s="13"/>
      <x:c r="P259" s="13"/>
      <x:c r="Q259" s="13"/>
      <x:c r="R259" s="13"/>
      <x:c r="S259" s="13"/>
      <x:c r="T259" s="13"/>
      <x:c r="U259" s="14"/>
      <x:c r="V259" s="14"/>
      <x:c r="W259" s="16"/>
      <x:c r="X259" s="16"/>
      <x:c r="Y259" s="14"/>
      <x:c r="Z259" s="66" t="str">
        <x:f t="shared" si="16">IF(A259="","",IF(MAX(LEN(E259),LEN(F259),LEN(G259),LEN(H259))&gt;2*MIN(LEN(E259),LEN(F259),LEN(G259),LEN(H259)),"Review answer lengths",""))</x:f>
      </x:c>
      <x:c r="AA259" s="66" t="str">
        <x:f t="shared" si="17">IF(A259="","",IF(COUNTIF($A$2:$A$301,A259)&gt;1,"Duplicate ID",IF(COUNTIF($D$2:$D$301,D259)&gt;1,"Review repeated text","")))</x:f>
      </x:c>
      <x:c r="AB259" s="66" t="str">
        <x:f t="shared" si="18">IF(A259="","","Unique string or number; no numeric range required")</x:f>
      </x:c>
      <x:c r="AC259" s="66" t="str">
        <x:f>IF(A259="","",IF(OR(B259="",D259="",E259="",F259="",G259="",H259="",J259="",K259="",L259="",M259="",O259="",P259="",AND(I259="",AG259=""),AND(B259&lt;&gt;"repair",B259&lt;&gt;"bridge",C259="")),"INCOMPLETE","CHECK ONLINE"))</x:f>
      </x:c>
      <x:c r="AD259" s="67" t="str">
        <x:f>IF(A259="","",IF(AC259="INCOMPLETE","Fill required fields including RepairSkill and an answer. See Instructions.","Copy all columns with headers to the browser validator for full schema, assets and mode checks."))</x:f>
      </x:c>
      <x:c r="AE259" s="67" t="str">
        <x:f t="shared" si="19">IF(A259="","","https://masteryquests.org/tools/question-bank-validator/")</x:f>
      </x:c>
      <x:c r="AF259" s="60"/>
      <x:c r="AH259" s="60"/>
      <x:c r="AI259" s="60"/>
    </x:row>
    <x:row r="260" ht="45" customHeight="1">
      <x:c r="A260" s="15"/>
      <x:c r="B260" s="15"/>
      <x:c r="C260" s="15"/>
      <x:c r="D260" s="12"/>
      <x:c r="E260" s="12"/>
      <x:c r="F260" s="12"/>
      <x:c r="G260" s="12"/>
      <x:c r="H260" s="12"/>
      <x:c r="I260" s="15"/>
      <x:c r="J260" s="12"/>
      <x:c r="K260" s="12"/>
      <x:c r="L260" s="12"/>
      <x:c r="M260" s="12"/>
      <x:c r="N260" s="12"/>
      <x:c r="O260" s="13"/>
      <x:c r="P260" s="13"/>
      <x:c r="Q260" s="13"/>
      <x:c r="R260" s="13"/>
      <x:c r="S260" s="13"/>
      <x:c r="T260" s="13"/>
      <x:c r="U260" s="14"/>
      <x:c r="V260" s="14"/>
      <x:c r="W260" s="16"/>
      <x:c r="X260" s="16"/>
      <x:c r="Y260" s="14"/>
      <x:c r="Z260" s="66" t="str">
        <x:f t="shared" si="16">IF(A260="","",IF(MAX(LEN(E260),LEN(F260),LEN(G260),LEN(H260))&gt;2*MIN(LEN(E260),LEN(F260),LEN(G260),LEN(H260)),"Review answer lengths",""))</x:f>
      </x:c>
      <x:c r="AA260" s="66" t="str">
        <x:f t="shared" si="17">IF(A260="","",IF(COUNTIF($A$2:$A$301,A260)&gt;1,"Duplicate ID",IF(COUNTIF($D$2:$D$301,D260)&gt;1,"Review repeated text","")))</x:f>
      </x:c>
      <x:c r="AB260" s="66" t="str">
        <x:f t="shared" si="18">IF(A260="","","Unique string or number; no numeric range required")</x:f>
      </x:c>
      <x:c r="AC260" s="66" t="str">
        <x:f>IF(A260="","",IF(OR(B260="",D260="",E260="",F260="",G260="",H260="",J260="",K260="",L260="",M260="",O260="",P260="",AND(I260="",AG260=""),AND(B260&lt;&gt;"repair",B260&lt;&gt;"bridge",C260="")),"INCOMPLETE","CHECK ONLINE"))</x:f>
      </x:c>
      <x:c r="AD260" s="67" t="str">
        <x:f>IF(A260="","",IF(AC260="INCOMPLETE","Fill required fields including RepairSkill and an answer. See Instructions.","Copy all columns with headers to the browser validator for full schema, assets and mode checks."))</x:f>
      </x:c>
      <x:c r="AE260" s="67" t="str">
        <x:f t="shared" si="19">IF(A260="","","https://masteryquests.org/tools/question-bank-validator/")</x:f>
      </x:c>
      <x:c r="AF260" s="60"/>
      <x:c r="AH260" s="60"/>
      <x:c r="AI260" s="60"/>
    </x:row>
    <x:row r="261" ht="45" customHeight="1">
      <x:c r="A261" s="15"/>
      <x:c r="B261" s="15"/>
      <x:c r="C261" s="15"/>
      <x:c r="D261" s="12"/>
      <x:c r="E261" s="12"/>
      <x:c r="F261" s="12"/>
      <x:c r="G261" s="12"/>
      <x:c r="H261" s="12"/>
      <x:c r="I261" s="15"/>
      <x:c r="J261" s="12"/>
      <x:c r="K261" s="12"/>
      <x:c r="L261" s="12"/>
      <x:c r="M261" s="12"/>
      <x:c r="N261" s="12"/>
      <x:c r="O261" s="13"/>
      <x:c r="P261" s="13"/>
      <x:c r="Q261" s="13"/>
      <x:c r="R261" s="13"/>
      <x:c r="S261" s="13"/>
      <x:c r="T261" s="13"/>
      <x:c r="U261" s="14"/>
      <x:c r="V261" s="14"/>
      <x:c r="W261" s="16"/>
      <x:c r="X261" s="16"/>
      <x:c r="Y261" s="14"/>
      <x:c r="Z261" s="66" t="str">
        <x:f t="shared" si="16">IF(A261="","",IF(MAX(LEN(E261),LEN(F261),LEN(G261),LEN(H261))&gt;2*MIN(LEN(E261),LEN(F261),LEN(G261),LEN(H261)),"Review answer lengths",""))</x:f>
      </x:c>
      <x:c r="AA261" s="66" t="str">
        <x:f t="shared" si="17">IF(A261="","",IF(COUNTIF($A$2:$A$301,A261)&gt;1,"Duplicate ID",IF(COUNTIF($D$2:$D$301,D261)&gt;1,"Review repeated text","")))</x:f>
      </x:c>
      <x:c r="AB261" s="66" t="str">
        <x:f t="shared" si="18">IF(A261="","","Unique string or number; no numeric range required")</x:f>
      </x:c>
      <x:c r="AC261" s="66" t="str">
        <x:f>IF(A261="","",IF(OR(B261="",D261="",E261="",F261="",G261="",H261="",J261="",K261="",L261="",M261="",O261="",P261="",AND(I261="",AG261=""),AND(B261&lt;&gt;"repair",B261&lt;&gt;"bridge",C261="")),"INCOMPLETE","CHECK ONLINE"))</x:f>
      </x:c>
      <x:c r="AD261" s="67" t="str">
        <x:f>IF(A261="","",IF(AC261="INCOMPLETE","Fill required fields including RepairSkill and an answer. See Instructions.","Copy all columns with headers to the browser validator for full schema, assets and mode checks."))</x:f>
      </x:c>
      <x:c r="AE261" s="67" t="str">
        <x:f t="shared" si="19">IF(A261="","","https://masteryquests.org/tools/question-bank-validator/")</x:f>
      </x:c>
      <x:c r="AF261" s="60"/>
      <x:c r="AH261" s="60"/>
      <x:c r="AI261" s="60"/>
    </x:row>
    <x:row r="262" ht="45" customHeight="1">
      <x:c r="A262" s="15"/>
      <x:c r="B262" s="15"/>
      <x:c r="C262" s="15"/>
      <x:c r="D262" s="12"/>
      <x:c r="E262" s="12"/>
      <x:c r="F262" s="12"/>
      <x:c r="G262" s="12"/>
      <x:c r="H262" s="12"/>
      <x:c r="I262" s="15"/>
      <x:c r="J262" s="12"/>
      <x:c r="K262" s="12"/>
      <x:c r="L262" s="12"/>
      <x:c r="M262" s="12"/>
      <x:c r="N262" s="12"/>
      <x:c r="O262" s="13"/>
      <x:c r="P262" s="13"/>
      <x:c r="Q262" s="13"/>
      <x:c r="R262" s="13"/>
      <x:c r="S262" s="13"/>
      <x:c r="T262" s="13"/>
      <x:c r="U262" s="14"/>
      <x:c r="V262" s="14"/>
      <x:c r="W262" s="16"/>
      <x:c r="X262" s="16"/>
      <x:c r="Y262" s="14"/>
      <x:c r="Z262" s="66" t="str">
        <x:f t="shared" si="16">IF(A262="","",IF(MAX(LEN(E262),LEN(F262),LEN(G262),LEN(H262))&gt;2*MIN(LEN(E262),LEN(F262),LEN(G262),LEN(H262)),"Review answer lengths",""))</x:f>
      </x:c>
      <x:c r="AA262" s="66" t="str">
        <x:f t="shared" si="17">IF(A262="","",IF(COUNTIF($A$2:$A$301,A262)&gt;1,"Duplicate ID",IF(COUNTIF($D$2:$D$301,D262)&gt;1,"Review repeated text","")))</x:f>
      </x:c>
      <x:c r="AB262" s="66" t="str">
        <x:f t="shared" si="18">IF(A262="","","Unique string or number; no numeric range required")</x:f>
      </x:c>
      <x:c r="AC262" s="66" t="str">
        <x:f>IF(A262="","",IF(OR(B262="",D262="",E262="",F262="",G262="",H262="",J262="",K262="",L262="",M262="",O262="",P262="",AND(I262="",AG262=""),AND(B262&lt;&gt;"repair",B262&lt;&gt;"bridge",C262="")),"INCOMPLETE","CHECK ONLINE"))</x:f>
      </x:c>
      <x:c r="AD262" s="67" t="str">
        <x:f>IF(A262="","",IF(AC262="INCOMPLETE","Fill required fields including RepairSkill and an answer. See Instructions.","Copy all columns with headers to the browser validator for full schema, assets and mode checks."))</x:f>
      </x:c>
      <x:c r="AE262" s="67" t="str">
        <x:f t="shared" si="19">IF(A262="","","https://masteryquests.org/tools/question-bank-validator/")</x:f>
      </x:c>
      <x:c r="AF262" s="60"/>
      <x:c r="AH262" s="60"/>
      <x:c r="AI262" s="60"/>
    </x:row>
    <x:row r="263" ht="45" customHeight="1">
      <x:c r="A263" s="15"/>
      <x:c r="B263" s="15"/>
      <x:c r="C263" s="15"/>
      <x:c r="D263" s="12"/>
      <x:c r="E263" s="12"/>
      <x:c r="F263" s="12"/>
      <x:c r="G263" s="12"/>
      <x:c r="H263" s="12"/>
      <x:c r="I263" s="15"/>
      <x:c r="J263" s="12"/>
      <x:c r="K263" s="12"/>
      <x:c r="L263" s="12"/>
      <x:c r="M263" s="12"/>
      <x:c r="N263" s="12"/>
      <x:c r="O263" s="13"/>
      <x:c r="P263" s="13"/>
      <x:c r="Q263" s="13"/>
      <x:c r="R263" s="13"/>
      <x:c r="S263" s="13"/>
      <x:c r="T263" s="13"/>
      <x:c r="U263" s="14"/>
      <x:c r="V263" s="14"/>
      <x:c r="W263" s="16"/>
      <x:c r="X263" s="16"/>
      <x:c r="Y263" s="14"/>
      <x:c r="Z263" s="66" t="str">
        <x:f t="shared" si="16">IF(A263="","",IF(MAX(LEN(E263),LEN(F263),LEN(G263),LEN(H263))&gt;2*MIN(LEN(E263),LEN(F263),LEN(G263),LEN(H263)),"Review answer lengths",""))</x:f>
      </x:c>
      <x:c r="AA263" s="66" t="str">
        <x:f t="shared" si="17">IF(A263="","",IF(COUNTIF($A$2:$A$301,A263)&gt;1,"Duplicate ID",IF(COUNTIF($D$2:$D$301,D263)&gt;1,"Review repeated text","")))</x:f>
      </x:c>
      <x:c r="AB263" s="66" t="str">
        <x:f t="shared" si="18">IF(A263="","","Unique string or number; no numeric range required")</x:f>
      </x:c>
      <x:c r="AC263" s="66" t="str">
        <x:f>IF(A263="","",IF(OR(B263="",D263="",E263="",F263="",G263="",H263="",J263="",K263="",L263="",M263="",O263="",P263="",AND(I263="",AG263=""),AND(B263&lt;&gt;"repair",B263&lt;&gt;"bridge",C263="")),"INCOMPLETE","CHECK ONLINE"))</x:f>
      </x:c>
      <x:c r="AD263" s="67" t="str">
        <x:f>IF(A263="","",IF(AC263="INCOMPLETE","Fill required fields including RepairSkill and an answer. See Instructions.","Copy all columns with headers to the browser validator for full schema, assets and mode checks."))</x:f>
      </x:c>
      <x:c r="AE263" s="67" t="str">
        <x:f t="shared" si="19">IF(A263="","","https://masteryquests.org/tools/question-bank-validator/")</x:f>
      </x:c>
      <x:c r="AF263" s="60"/>
      <x:c r="AH263" s="60"/>
      <x:c r="AI263" s="60"/>
    </x:row>
    <x:row r="264" ht="45" customHeight="1">
      <x:c r="A264" s="15"/>
      <x:c r="B264" s="15"/>
      <x:c r="C264" s="15"/>
      <x:c r="D264" s="12"/>
      <x:c r="E264" s="12"/>
      <x:c r="F264" s="12"/>
      <x:c r="G264" s="12"/>
      <x:c r="H264" s="12"/>
      <x:c r="I264" s="15"/>
      <x:c r="J264" s="12"/>
      <x:c r="K264" s="12"/>
      <x:c r="L264" s="12"/>
      <x:c r="M264" s="12"/>
      <x:c r="N264" s="12"/>
      <x:c r="O264" s="13"/>
      <x:c r="P264" s="13"/>
      <x:c r="Q264" s="13"/>
      <x:c r="R264" s="13"/>
      <x:c r="S264" s="13"/>
      <x:c r="T264" s="13"/>
      <x:c r="U264" s="14"/>
      <x:c r="V264" s="14"/>
      <x:c r="W264" s="16"/>
      <x:c r="X264" s="16"/>
      <x:c r="Y264" s="14"/>
      <x:c r="Z264" s="66" t="str">
        <x:f t="shared" si="16">IF(A264="","",IF(MAX(LEN(E264),LEN(F264),LEN(G264),LEN(H264))&gt;2*MIN(LEN(E264),LEN(F264),LEN(G264),LEN(H264)),"Review answer lengths",""))</x:f>
      </x:c>
      <x:c r="AA264" s="66" t="str">
        <x:f t="shared" si="17">IF(A264="","",IF(COUNTIF($A$2:$A$301,A264)&gt;1,"Duplicate ID",IF(COUNTIF($D$2:$D$301,D264)&gt;1,"Review repeated text","")))</x:f>
      </x:c>
      <x:c r="AB264" s="66" t="str">
        <x:f t="shared" si="18">IF(A264="","","Unique string or number; no numeric range required")</x:f>
      </x:c>
      <x:c r="AC264" s="66" t="str">
        <x:f>IF(A264="","",IF(OR(B264="",D264="",E264="",F264="",G264="",H264="",J264="",K264="",L264="",M264="",O264="",P264="",AND(I264="",AG264=""),AND(B264&lt;&gt;"repair",B264&lt;&gt;"bridge",C264="")),"INCOMPLETE","CHECK ONLINE"))</x:f>
      </x:c>
      <x:c r="AD264" s="67" t="str">
        <x:f>IF(A264="","",IF(AC264="INCOMPLETE","Fill required fields including RepairSkill and an answer. See Instructions.","Copy all columns with headers to the browser validator for full schema, assets and mode checks."))</x:f>
      </x:c>
      <x:c r="AE264" s="67" t="str">
        <x:f t="shared" si="19">IF(A264="","","https://masteryquests.org/tools/question-bank-validator/")</x:f>
      </x:c>
      <x:c r="AF264" s="60"/>
      <x:c r="AH264" s="60"/>
      <x:c r="AI264" s="60"/>
    </x:row>
    <x:row r="265" ht="45" customHeight="1">
      <x:c r="A265" s="15"/>
      <x:c r="B265" s="15"/>
      <x:c r="C265" s="15"/>
      <x:c r="D265" s="12"/>
      <x:c r="E265" s="12"/>
      <x:c r="F265" s="12"/>
      <x:c r="G265" s="12"/>
      <x:c r="H265" s="12"/>
      <x:c r="I265" s="15"/>
      <x:c r="J265" s="12"/>
      <x:c r="K265" s="12"/>
      <x:c r="L265" s="12"/>
      <x:c r="M265" s="12"/>
      <x:c r="N265" s="12"/>
      <x:c r="O265" s="13"/>
      <x:c r="P265" s="13"/>
      <x:c r="Q265" s="13"/>
      <x:c r="R265" s="13"/>
      <x:c r="S265" s="13"/>
      <x:c r="T265" s="13"/>
      <x:c r="U265" s="14"/>
      <x:c r="V265" s="14"/>
      <x:c r="W265" s="16"/>
      <x:c r="X265" s="16"/>
      <x:c r="Y265" s="14"/>
      <x:c r="Z265" s="66" t="str">
        <x:f t="shared" si="16">IF(A265="","",IF(MAX(LEN(E265),LEN(F265),LEN(G265),LEN(H265))&gt;2*MIN(LEN(E265),LEN(F265),LEN(G265),LEN(H265)),"Review answer lengths",""))</x:f>
      </x:c>
      <x:c r="AA265" s="66" t="str">
        <x:f t="shared" si="17">IF(A265="","",IF(COUNTIF($A$2:$A$301,A265)&gt;1,"Duplicate ID",IF(COUNTIF($D$2:$D$301,D265)&gt;1,"Review repeated text","")))</x:f>
      </x:c>
      <x:c r="AB265" s="66" t="str">
        <x:f t="shared" si="18">IF(A265="","","Unique string or number; no numeric range required")</x:f>
      </x:c>
      <x:c r="AC265" s="66" t="str">
        <x:f>IF(A265="","",IF(OR(B265="",D265="",E265="",F265="",G265="",H265="",J265="",K265="",L265="",M265="",O265="",P265="",AND(I265="",AG265=""),AND(B265&lt;&gt;"repair",B265&lt;&gt;"bridge",C265="")),"INCOMPLETE","CHECK ONLINE"))</x:f>
      </x:c>
      <x:c r="AD265" s="67" t="str">
        <x:f>IF(A265="","",IF(AC265="INCOMPLETE","Fill required fields including RepairSkill and an answer. See Instructions.","Copy all columns with headers to the browser validator for full schema, assets and mode checks."))</x:f>
      </x:c>
      <x:c r="AE265" s="67" t="str">
        <x:f t="shared" si="19">IF(A265="","","https://masteryquests.org/tools/question-bank-validator/")</x:f>
      </x:c>
      <x:c r="AF265" s="60"/>
      <x:c r="AH265" s="60"/>
      <x:c r="AI265" s="60"/>
    </x:row>
    <x:row r="266" ht="45" customHeight="1">
      <x:c r="A266" s="15"/>
      <x:c r="B266" s="15"/>
      <x:c r="C266" s="15"/>
      <x:c r="D266" s="12"/>
      <x:c r="E266" s="12"/>
      <x:c r="F266" s="12"/>
      <x:c r="G266" s="12"/>
      <x:c r="H266" s="12"/>
      <x:c r="I266" s="15"/>
      <x:c r="J266" s="12"/>
      <x:c r="K266" s="12"/>
      <x:c r="L266" s="12"/>
      <x:c r="M266" s="12"/>
      <x:c r="N266" s="12"/>
      <x:c r="O266" s="13"/>
      <x:c r="P266" s="13"/>
      <x:c r="Q266" s="13"/>
      <x:c r="R266" s="13"/>
      <x:c r="S266" s="13"/>
      <x:c r="T266" s="13"/>
      <x:c r="U266" s="14"/>
      <x:c r="V266" s="14"/>
      <x:c r="W266" s="16"/>
      <x:c r="X266" s="16"/>
      <x:c r="Y266" s="14"/>
      <x:c r="Z266" s="66" t="str">
        <x:f t="shared" si="16">IF(A266="","",IF(MAX(LEN(E266),LEN(F266),LEN(G266),LEN(H266))&gt;2*MIN(LEN(E266),LEN(F266),LEN(G266),LEN(H266)),"Review answer lengths",""))</x:f>
      </x:c>
      <x:c r="AA266" s="66" t="str">
        <x:f t="shared" si="17">IF(A266="","",IF(COUNTIF($A$2:$A$301,A266)&gt;1,"Duplicate ID",IF(COUNTIF($D$2:$D$301,D266)&gt;1,"Review repeated text","")))</x:f>
      </x:c>
      <x:c r="AB266" s="66" t="str">
        <x:f t="shared" si="18">IF(A266="","","Unique string or number; no numeric range required")</x:f>
      </x:c>
      <x:c r="AC266" s="66" t="str">
        <x:f>IF(A266="","",IF(OR(B266="",D266="",E266="",F266="",G266="",H266="",J266="",K266="",L266="",M266="",O266="",P266="",AND(I266="",AG266=""),AND(B266&lt;&gt;"repair",B266&lt;&gt;"bridge",C266="")),"INCOMPLETE","CHECK ONLINE"))</x:f>
      </x:c>
      <x:c r="AD266" s="67" t="str">
        <x:f>IF(A266="","",IF(AC266="INCOMPLETE","Fill required fields including RepairSkill and an answer. See Instructions.","Copy all columns with headers to the browser validator for full schema, assets and mode checks."))</x:f>
      </x:c>
      <x:c r="AE266" s="67" t="str">
        <x:f t="shared" si="19">IF(A266="","","https://masteryquests.org/tools/question-bank-validator/")</x:f>
      </x:c>
      <x:c r="AF266" s="60"/>
      <x:c r="AH266" s="60"/>
      <x:c r="AI266" s="60"/>
    </x:row>
    <x:row r="267" ht="45" customHeight="1">
      <x:c r="A267" s="15"/>
      <x:c r="B267" s="15"/>
      <x:c r="C267" s="15"/>
      <x:c r="D267" s="12"/>
      <x:c r="E267" s="12"/>
      <x:c r="F267" s="12"/>
      <x:c r="G267" s="12"/>
      <x:c r="H267" s="12"/>
      <x:c r="I267" s="15"/>
      <x:c r="J267" s="12"/>
      <x:c r="K267" s="12"/>
      <x:c r="L267" s="12"/>
      <x:c r="M267" s="12"/>
      <x:c r="N267" s="12"/>
      <x:c r="O267" s="13"/>
      <x:c r="P267" s="13"/>
      <x:c r="Q267" s="13"/>
      <x:c r="R267" s="13"/>
      <x:c r="S267" s="13"/>
      <x:c r="T267" s="13"/>
      <x:c r="U267" s="14"/>
      <x:c r="V267" s="14"/>
      <x:c r="W267" s="16"/>
      <x:c r="X267" s="16"/>
      <x:c r="Y267" s="14"/>
      <x:c r="Z267" s="66" t="str">
        <x:f t="shared" si="16">IF(A267="","",IF(MAX(LEN(E267),LEN(F267),LEN(G267),LEN(H267))&gt;2*MIN(LEN(E267),LEN(F267),LEN(G267),LEN(H267)),"Review answer lengths",""))</x:f>
      </x:c>
      <x:c r="AA267" s="66" t="str">
        <x:f t="shared" si="17">IF(A267="","",IF(COUNTIF($A$2:$A$301,A267)&gt;1,"Duplicate ID",IF(COUNTIF($D$2:$D$301,D267)&gt;1,"Review repeated text","")))</x:f>
      </x:c>
      <x:c r="AB267" s="66" t="str">
        <x:f t="shared" si="18">IF(A267="","","Unique string or number; no numeric range required")</x:f>
      </x:c>
      <x:c r="AC267" s="66" t="str">
        <x:f>IF(A267="","",IF(OR(B267="",D267="",E267="",F267="",G267="",H267="",J267="",K267="",L267="",M267="",O267="",P267="",AND(I267="",AG267=""),AND(B267&lt;&gt;"repair",B267&lt;&gt;"bridge",C267="")),"INCOMPLETE","CHECK ONLINE"))</x:f>
      </x:c>
      <x:c r="AD267" s="67" t="str">
        <x:f>IF(A267="","",IF(AC267="INCOMPLETE","Fill required fields including RepairSkill and an answer. See Instructions.","Copy all columns with headers to the browser validator for full schema, assets and mode checks."))</x:f>
      </x:c>
      <x:c r="AE267" s="67" t="str">
        <x:f t="shared" si="19">IF(A267="","","https://masteryquests.org/tools/question-bank-validator/")</x:f>
      </x:c>
      <x:c r="AF267" s="60"/>
      <x:c r="AH267" s="60"/>
      <x:c r="AI267" s="60"/>
    </x:row>
    <x:row r="268" ht="45" customHeight="1">
      <x:c r="A268" s="15"/>
      <x:c r="B268" s="15"/>
      <x:c r="C268" s="15"/>
      <x:c r="D268" s="12"/>
      <x:c r="E268" s="12"/>
      <x:c r="F268" s="12"/>
      <x:c r="G268" s="12"/>
      <x:c r="H268" s="12"/>
      <x:c r="I268" s="15"/>
      <x:c r="J268" s="12"/>
      <x:c r="K268" s="12"/>
      <x:c r="L268" s="12"/>
      <x:c r="M268" s="12"/>
      <x:c r="N268" s="12"/>
      <x:c r="O268" s="13"/>
      <x:c r="P268" s="13"/>
      <x:c r="Q268" s="13"/>
      <x:c r="R268" s="13"/>
      <x:c r="S268" s="13"/>
      <x:c r="T268" s="13"/>
      <x:c r="U268" s="14"/>
      <x:c r="V268" s="14"/>
      <x:c r="W268" s="16"/>
      <x:c r="X268" s="16"/>
      <x:c r="Y268" s="14"/>
      <x:c r="Z268" s="66" t="str">
        <x:f t="shared" si="16">IF(A268="","",IF(MAX(LEN(E268),LEN(F268),LEN(G268),LEN(H268))&gt;2*MIN(LEN(E268),LEN(F268),LEN(G268),LEN(H268)),"Review answer lengths",""))</x:f>
      </x:c>
      <x:c r="AA268" s="66" t="str">
        <x:f t="shared" si="17">IF(A268="","",IF(COUNTIF($A$2:$A$301,A268)&gt;1,"Duplicate ID",IF(COUNTIF($D$2:$D$301,D268)&gt;1,"Review repeated text","")))</x:f>
      </x:c>
      <x:c r="AB268" s="66" t="str">
        <x:f t="shared" si="18">IF(A268="","","Unique string or number; no numeric range required")</x:f>
      </x:c>
      <x:c r="AC268" s="66" t="str">
        <x:f>IF(A268="","",IF(OR(B268="",D268="",E268="",F268="",G268="",H268="",J268="",K268="",L268="",M268="",O268="",P268="",AND(I268="",AG268=""),AND(B268&lt;&gt;"repair",B268&lt;&gt;"bridge",C268="")),"INCOMPLETE","CHECK ONLINE"))</x:f>
      </x:c>
      <x:c r="AD268" s="67" t="str">
        <x:f>IF(A268="","",IF(AC268="INCOMPLETE","Fill required fields including RepairSkill and an answer. See Instructions.","Copy all columns with headers to the browser validator for full schema, assets and mode checks."))</x:f>
      </x:c>
      <x:c r="AE268" s="67" t="str">
        <x:f t="shared" si="19">IF(A268="","","https://masteryquests.org/tools/question-bank-validator/")</x:f>
      </x:c>
      <x:c r="AF268" s="60"/>
      <x:c r="AH268" s="60"/>
      <x:c r="AI268" s="60"/>
    </x:row>
    <x:row r="269" ht="45" customHeight="1">
      <x:c r="A269" s="15"/>
      <x:c r="B269" s="15"/>
      <x:c r="C269" s="15"/>
      <x:c r="D269" s="12"/>
      <x:c r="E269" s="12"/>
      <x:c r="F269" s="12"/>
      <x:c r="G269" s="12"/>
      <x:c r="H269" s="12"/>
      <x:c r="I269" s="15"/>
      <x:c r="J269" s="12"/>
      <x:c r="K269" s="12"/>
      <x:c r="L269" s="12"/>
      <x:c r="M269" s="12"/>
      <x:c r="N269" s="12"/>
      <x:c r="O269" s="13"/>
      <x:c r="P269" s="13"/>
      <x:c r="Q269" s="13"/>
      <x:c r="R269" s="13"/>
      <x:c r="S269" s="13"/>
      <x:c r="T269" s="13"/>
      <x:c r="U269" s="14"/>
      <x:c r="V269" s="14"/>
      <x:c r="W269" s="16"/>
      <x:c r="X269" s="16"/>
      <x:c r="Y269" s="14"/>
      <x:c r="Z269" s="66" t="str">
        <x:f t="shared" si="16">IF(A269="","",IF(MAX(LEN(E269),LEN(F269),LEN(G269),LEN(H269))&gt;2*MIN(LEN(E269),LEN(F269),LEN(G269),LEN(H269)),"Review answer lengths",""))</x:f>
      </x:c>
      <x:c r="AA269" s="66" t="str">
        <x:f t="shared" si="17">IF(A269="","",IF(COUNTIF($A$2:$A$301,A269)&gt;1,"Duplicate ID",IF(COUNTIF($D$2:$D$301,D269)&gt;1,"Review repeated text","")))</x:f>
      </x:c>
      <x:c r="AB269" s="66" t="str">
        <x:f t="shared" si="18">IF(A269="","","Unique string or number; no numeric range required")</x:f>
      </x:c>
      <x:c r="AC269" s="66" t="str">
        <x:f>IF(A269="","",IF(OR(B269="",D269="",E269="",F269="",G269="",H269="",J269="",K269="",L269="",M269="",O269="",P269="",AND(I269="",AG269=""),AND(B269&lt;&gt;"repair",B269&lt;&gt;"bridge",C269="")),"INCOMPLETE","CHECK ONLINE"))</x:f>
      </x:c>
      <x:c r="AD269" s="67" t="str">
        <x:f>IF(A269="","",IF(AC269="INCOMPLETE","Fill required fields including RepairSkill and an answer. See Instructions.","Copy all columns with headers to the browser validator for full schema, assets and mode checks."))</x:f>
      </x:c>
      <x:c r="AE269" s="67" t="str">
        <x:f t="shared" si="19">IF(A269="","","https://masteryquests.org/tools/question-bank-validator/")</x:f>
      </x:c>
      <x:c r="AF269" s="60"/>
      <x:c r="AH269" s="60"/>
      <x:c r="AI269" s="60"/>
    </x:row>
    <x:row r="270" ht="45" customHeight="1">
      <x:c r="A270" s="15"/>
      <x:c r="B270" s="15"/>
      <x:c r="C270" s="15"/>
      <x:c r="D270" s="12"/>
      <x:c r="E270" s="12"/>
      <x:c r="F270" s="12"/>
      <x:c r="G270" s="12"/>
      <x:c r="H270" s="12"/>
      <x:c r="I270" s="15"/>
      <x:c r="J270" s="12"/>
      <x:c r="K270" s="12"/>
      <x:c r="L270" s="12"/>
      <x:c r="M270" s="12"/>
      <x:c r="N270" s="12"/>
      <x:c r="O270" s="13"/>
      <x:c r="P270" s="13"/>
      <x:c r="Q270" s="13"/>
      <x:c r="R270" s="13"/>
      <x:c r="S270" s="13"/>
      <x:c r="T270" s="13"/>
      <x:c r="U270" s="14"/>
      <x:c r="V270" s="14"/>
      <x:c r="W270" s="16"/>
      <x:c r="X270" s="16"/>
      <x:c r="Y270" s="14"/>
      <x:c r="Z270" s="66" t="str">
        <x:f t="shared" si="16">IF(A270="","",IF(MAX(LEN(E270),LEN(F270),LEN(G270),LEN(H270))&gt;2*MIN(LEN(E270),LEN(F270),LEN(G270),LEN(H270)),"Review answer lengths",""))</x:f>
      </x:c>
      <x:c r="AA270" s="66" t="str">
        <x:f t="shared" si="17">IF(A270="","",IF(COUNTIF($A$2:$A$301,A270)&gt;1,"Duplicate ID",IF(COUNTIF($D$2:$D$301,D270)&gt;1,"Review repeated text","")))</x:f>
      </x:c>
      <x:c r="AB270" s="66" t="str">
        <x:f t="shared" si="18">IF(A270="","","Unique string or number; no numeric range required")</x:f>
      </x:c>
      <x:c r="AC270" s="66" t="str">
        <x:f>IF(A270="","",IF(OR(B270="",D270="",E270="",F270="",G270="",H270="",J270="",K270="",L270="",M270="",O270="",P270="",AND(I270="",AG270=""),AND(B270&lt;&gt;"repair",B270&lt;&gt;"bridge",C270="")),"INCOMPLETE","CHECK ONLINE"))</x:f>
      </x:c>
      <x:c r="AD270" s="67" t="str">
        <x:f>IF(A270="","",IF(AC270="INCOMPLETE","Fill required fields including RepairSkill and an answer. See Instructions.","Copy all columns with headers to the browser validator for full schema, assets and mode checks."))</x:f>
      </x:c>
      <x:c r="AE270" s="67" t="str">
        <x:f t="shared" si="19">IF(A270="","","https://masteryquests.org/tools/question-bank-validator/")</x:f>
      </x:c>
      <x:c r="AF270" s="60"/>
      <x:c r="AH270" s="60"/>
      <x:c r="AI270" s="60"/>
    </x:row>
    <x:row r="271" ht="45" customHeight="1">
      <x:c r="A271" s="15"/>
      <x:c r="B271" s="15"/>
      <x:c r="C271" s="15"/>
      <x:c r="D271" s="12"/>
      <x:c r="E271" s="12"/>
      <x:c r="F271" s="12"/>
      <x:c r="G271" s="12"/>
      <x:c r="H271" s="12"/>
      <x:c r="I271" s="15"/>
      <x:c r="J271" s="12"/>
      <x:c r="K271" s="12"/>
      <x:c r="L271" s="12"/>
      <x:c r="M271" s="12"/>
      <x:c r="N271" s="12"/>
      <x:c r="O271" s="13"/>
      <x:c r="P271" s="13"/>
      <x:c r="Q271" s="13"/>
      <x:c r="R271" s="13"/>
      <x:c r="S271" s="13"/>
      <x:c r="T271" s="13"/>
      <x:c r="U271" s="14"/>
      <x:c r="V271" s="14"/>
      <x:c r="W271" s="16"/>
      <x:c r="X271" s="16"/>
      <x:c r="Y271" s="14"/>
      <x:c r="Z271" s="66" t="str">
        <x:f t="shared" si="16">IF(A271="","",IF(MAX(LEN(E271),LEN(F271),LEN(G271),LEN(H271))&gt;2*MIN(LEN(E271),LEN(F271),LEN(G271),LEN(H271)),"Review answer lengths",""))</x:f>
      </x:c>
      <x:c r="AA271" s="66" t="str">
        <x:f t="shared" si="17">IF(A271="","",IF(COUNTIF($A$2:$A$301,A271)&gt;1,"Duplicate ID",IF(COUNTIF($D$2:$D$301,D271)&gt;1,"Review repeated text","")))</x:f>
      </x:c>
      <x:c r="AB271" s="66" t="str">
        <x:f t="shared" si="18">IF(A271="","","Unique string or number; no numeric range required")</x:f>
      </x:c>
      <x:c r="AC271" s="66" t="str">
        <x:f>IF(A271="","",IF(OR(B271="",D271="",E271="",F271="",G271="",H271="",J271="",K271="",L271="",M271="",O271="",P271="",AND(I271="",AG271=""),AND(B271&lt;&gt;"repair",B271&lt;&gt;"bridge",C271="")),"INCOMPLETE","CHECK ONLINE"))</x:f>
      </x:c>
      <x:c r="AD271" s="67" t="str">
        <x:f>IF(A271="","",IF(AC271="INCOMPLETE","Fill required fields including RepairSkill and an answer. See Instructions.","Copy all columns with headers to the browser validator for full schema, assets and mode checks."))</x:f>
      </x:c>
      <x:c r="AE271" s="67" t="str">
        <x:f t="shared" si="19">IF(A271="","","https://masteryquests.org/tools/question-bank-validator/")</x:f>
      </x:c>
      <x:c r="AF271" s="60"/>
      <x:c r="AH271" s="60"/>
      <x:c r="AI271" s="60"/>
    </x:row>
    <x:row r="272" ht="45" customHeight="1">
      <x:c r="A272" s="15"/>
      <x:c r="B272" s="15"/>
      <x:c r="C272" s="15"/>
      <x:c r="D272" s="12"/>
      <x:c r="E272" s="12"/>
      <x:c r="F272" s="12"/>
      <x:c r="G272" s="12"/>
      <x:c r="H272" s="12"/>
      <x:c r="I272" s="15"/>
      <x:c r="J272" s="12"/>
      <x:c r="K272" s="12"/>
      <x:c r="L272" s="12"/>
      <x:c r="M272" s="12"/>
      <x:c r="N272" s="12"/>
      <x:c r="O272" s="13"/>
      <x:c r="P272" s="13"/>
      <x:c r="Q272" s="13"/>
      <x:c r="R272" s="13"/>
      <x:c r="S272" s="13"/>
      <x:c r="T272" s="13"/>
      <x:c r="U272" s="14"/>
      <x:c r="V272" s="14"/>
      <x:c r="W272" s="16"/>
      <x:c r="X272" s="16"/>
      <x:c r="Y272" s="14"/>
      <x:c r="Z272" s="66" t="str">
        <x:f t="shared" si="16">IF(A272="","",IF(MAX(LEN(E272),LEN(F272),LEN(G272),LEN(H272))&gt;2*MIN(LEN(E272),LEN(F272),LEN(G272),LEN(H272)),"Review answer lengths",""))</x:f>
      </x:c>
      <x:c r="AA272" s="66" t="str">
        <x:f t="shared" si="17">IF(A272="","",IF(COUNTIF($A$2:$A$301,A272)&gt;1,"Duplicate ID",IF(COUNTIF($D$2:$D$301,D272)&gt;1,"Review repeated text","")))</x:f>
      </x:c>
      <x:c r="AB272" s="66" t="str">
        <x:f t="shared" si="18">IF(A272="","","Unique string or number; no numeric range required")</x:f>
      </x:c>
      <x:c r="AC272" s="66" t="str">
        <x:f>IF(A272="","",IF(OR(B272="",D272="",E272="",F272="",G272="",H272="",J272="",K272="",L272="",M272="",O272="",P272="",AND(I272="",AG272=""),AND(B272&lt;&gt;"repair",B272&lt;&gt;"bridge",C272="")),"INCOMPLETE","CHECK ONLINE"))</x:f>
      </x:c>
      <x:c r="AD272" s="67" t="str">
        <x:f>IF(A272="","",IF(AC272="INCOMPLETE","Fill required fields including RepairSkill and an answer. See Instructions.","Copy all columns with headers to the browser validator for full schema, assets and mode checks."))</x:f>
      </x:c>
      <x:c r="AE272" s="67" t="str">
        <x:f t="shared" si="19">IF(A272="","","https://masteryquests.org/tools/question-bank-validator/")</x:f>
      </x:c>
      <x:c r="AF272" s="60"/>
      <x:c r="AH272" s="60"/>
      <x:c r="AI272" s="60"/>
    </x:row>
    <x:row r="273" ht="45" customHeight="1">
      <x:c r="A273" s="15"/>
      <x:c r="B273" s="15"/>
      <x:c r="C273" s="15"/>
      <x:c r="D273" s="12"/>
      <x:c r="E273" s="12"/>
      <x:c r="F273" s="12"/>
      <x:c r="G273" s="12"/>
      <x:c r="H273" s="12"/>
      <x:c r="I273" s="15"/>
      <x:c r="J273" s="12"/>
      <x:c r="K273" s="12"/>
      <x:c r="L273" s="12"/>
      <x:c r="M273" s="12"/>
      <x:c r="N273" s="12"/>
      <x:c r="O273" s="13"/>
      <x:c r="P273" s="13"/>
      <x:c r="Q273" s="13"/>
      <x:c r="R273" s="13"/>
      <x:c r="S273" s="13"/>
      <x:c r="T273" s="13"/>
      <x:c r="U273" s="14"/>
      <x:c r="V273" s="14"/>
      <x:c r="W273" s="16"/>
      <x:c r="X273" s="16"/>
      <x:c r="Y273" s="14"/>
      <x:c r="Z273" s="66" t="str">
        <x:f t="shared" si="16">IF(A273="","",IF(MAX(LEN(E273),LEN(F273),LEN(G273),LEN(H273))&gt;2*MIN(LEN(E273),LEN(F273),LEN(G273),LEN(H273)),"Review answer lengths",""))</x:f>
      </x:c>
      <x:c r="AA273" s="66" t="str">
        <x:f t="shared" si="17">IF(A273="","",IF(COUNTIF($A$2:$A$301,A273)&gt;1,"Duplicate ID",IF(COUNTIF($D$2:$D$301,D273)&gt;1,"Review repeated text","")))</x:f>
      </x:c>
      <x:c r="AB273" s="66" t="str">
        <x:f t="shared" si="18">IF(A273="","","Unique string or number; no numeric range required")</x:f>
      </x:c>
      <x:c r="AC273" s="66" t="str">
        <x:f>IF(A273="","",IF(OR(B273="",D273="",E273="",F273="",G273="",H273="",J273="",K273="",L273="",M273="",O273="",P273="",AND(I273="",AG273=""),AND(B273&lt;&gt;"repair",B273&lt;&gt;"bridge",C273="")),"INCOMPLETE","CHECK ONLINE"))</x:f>
      </x:c>
      <x:c r="AD273" s="67" t="str">
        <x:f>IF(A273="","",IF(AC273="INCOMPLETE","Fill required fields including RepairSkill and an answer. See Instructions.","Copy all columns with headers to the browser validator for full schema, assets and mode checks."))</x:f>
      </x:c>
      <x:c r="AE273" s="67" t="str">
        <x:f t="shared" si="19">IF(A273="","","https://masteryquests.org/tools/question-bank-validator/")</x:f>
      </x:c>
      <x:c r="AF273" s="60"/>
      <x:c r="AH273" s="60"/>
      <x:c r="AI273" s="60"/>
    </x:row>
    <x:row r="274" ht="45" customHeight="1">
      <x:c r="A274" s="15"/>
      <x:c r="B274" s="15"/>
      <x:c r="C274" s="15"/>
      <x:c r="D274" s="12"/>
      <x:c r="E274" s="12"/>
      <x:c r="F274" s="12"/>
      <x:c r="G274" s="12"/>
      <x:c r="H274" s="12"/>
      <x:c r="I274" s="15"/>
      <x:c r="J274" s="12"/>
      <x:c r="K274" s="12"/>
      <x:c r="L274" s="12"/>
      <x:c r="M274" s="12"/>
      <x:c r="N274" s="12"/>
      <x:c r="O274" s="13"/>
      <x:c r="P274" s="13"/>
      <x:c r="Q274" s="13"/>
      <x:c r="R274" s="13"/>
      <x:c r="S274" s="13"/>
      <x:c r="T274" s="13"/>
      <x:c r="U274" s="14"/>
      <x:c r="V274" s="14"/>
      <x:c r="W274" s="16"/>
      <x:c r="X274" s="16"/>
      <x:c r="Y274" s="14"/>
      <x:c r="Z274" s="66" t="str">
        <x:f t="shared" si="16">IF(A274="","",IF(MAX(LEN(E274),LEN(F274),LEN(G274),LEN(H274))&gt;2*MIN(LEN(E274),LEN(F274),LEN(G274),LEN(H274)),"Review answer lengths",""))</x:f>
      </x:c>
      <x:c r="AA274" s="66" t="str">
        <x:f t="shared" si="17">IF(A274="","",IF(COUNTIF($A$2:$A$301,A274)&gt;1,"Duplicate ID",IF(COUNTIF($D$2:$D$301,D274)&gt;1,"Review repeated text","")))</x:f>
      </x:c>
      <x:c r="AB274" s="66" t="str">
        <x:f t="shared" si="18">IF(A274="","","Unique string or number; no numeric range required")</x:f>
      </x:c>
      <x:c r="AC274" s="66" t="str">
        <x:f>IF(A274="","",IF(OR(B274="",D274="",E274="",F274="",G274="",H274="",J274="",K274="",L274="",M274="",O274="",P274="",AND(I274="",AG274=""),AND(B274&lt;&gt;"repair",B274&lt;&gt;"bridge",C274="")),"INCOMPLETE","CHECK ONLINE"))</x:f>
      </x:c>
      <x:c r="AD274" s="67" t="str">
        <x:f>IF(A274="","",IF(AC274="INCOMPLETE","Fill required fields including RepairSkill and an answer. See Instructions.","Copy all columns with headers to the browser validator for full schema, assets and mode checks."))</x:f>
      </x:c>
      <x:c r="AE274" s="67" t="str">
        <x:f t="shared" si="19">IF(A274="","","https://masteryquests.org/tools/question-bank-validator/")</x:f>
      </x:c>
      <x:c r="AF274" s="60"/>
      <x:c r="AH274" s="60"/>
      <x:c r="AI274" s="60"/>
    </x:row>
    <x:row r="275" ht="45" customHeight="1">
      <x:c r="A275" s="15"/>
      <x:c r="B275" s="15"/>
      <x:c r="C275" s="15"/>
      <x:c r="D275" s="12"/>
      <x:c r="E275" s="12"/>
      <x:c r="F275" s="12"/>
      <x:c r="G275" s="12"/>
      <x:c r="H275" s="12"/>
      <x:c r="I275" s="15"/>
      <x:c r="J275" s="12"/>
      <x:c r="K275" s="12"/>
      <x:c r="L275" s="12"/>
      <x:c r="M275" s="12"/>
      <x:c r="N275" s="12"/>
      <x:c r="O275" s="13"/>
      <x:c r="P275" s="13"/>
      <x:c r="Q275" s="13"/>
      <x:c r="R275" s="13"/>
      <x:c r="S275" s="13"/>
      <x:c r="T275" s="13"/>
      <x:c r="U275" s="14"/>
      <x:c r="V275" s="14"/>
      <x:c r="W275" s="16"/>
      <x:c r="X275" s="16"/>
      <x:c r="Y275" s="14"/>
      <x:c r="Z275" s="66" t="str">
        <x:f t="shared" si="16">IF(A275="","",IF(MAX(LEN(E275),LEN(F275),LEN(G275),LEN(H275))&gt;2*MIN(LEN(E275),LEN(F275),LEN(G275),LEN(H275)),"Review answer lengths",""))</x:f>
      </x:c>
      <x:c r="AA275" s="66" t="str">
        <x:f t="shared" si="17">IF(A275="","",IF(COUNTIF($A$2:$A$301,A275)&gt;1,"Duplicate ID",IF(COUNTIF($D$2:$D$301,D275)&gt;1,"Review repeated text","")))</x:f>
      </x:c>
      <x:c r="AB275" s="66" t="str">
        <x:f t="shared" si="18">IF(A275="","","Unique string or number; no numeric range required")</x:f>
      </x:c>
      <x:c r="AC275" s="66" t="str">
        <x:f>IF(A275="","",IF(OR(B275="",D275="",E275="",F275="",G275="",H275="",J275="",K275="",L275="",M275="",O275="",P275="",AND(I275="",AG275=""),AND(B275&lt;&gt;"repair",B275&lt;&gt;"bridge",C275="")),"INCOMPLETE","CHECK ONLINE"))</x:f>
      </x:c>
      <x:c r="AD275" s="67" t="str">
        <x:f>IF(A275="","",IF(AC275="INCOMPLETE","Fill required fields including RepairSkill and an answer. See Instructions.","Copy all columns with headers to the browser validator for full schema, assets and mode checks."))</x:f>
      </x:c>
      <x:c r="AE275" s="67" t="str">
        <x:f t="shared" si="19">IF(A275="","","https://masteryquests.org/tools/question-bank-validator/")</x:f>
      </x:c>
      <x:c r="AF275" s="60"/>
      <x:c r="AH275" s="60"/>
      <x:c r="AI275" s="60"/>
    </x:row>
    <x:row r="276" ht="45" customHeight="1">
      <x:c r="A276" s="15"/>
      <x:c r="B276" s="15"/>
      <x:c r="C276" s="15"/>
      <x:c r="D276" s="12"/>
      <x:c r="E276" s="12"/>
      <x:c r="F276" s="12"/>
      <x:c r="G276" s="12"/>
      <x:c r="H276" s="12"/>
      <x:c r="I276" s="15"/>
      <x:c r="J276" s="12"/>
      <x:c r="K276" s="12"/>
      <x:c r="L276" s="12"/>
      <x:c r="M276" s="12"/>
      <x:c r="N276" s="12"/>
      <x:c r="O276" s="13"/>
      <x:c r="P276" s="13"/>
      <x:c r="Q276" s="13"/>
      <x:c r="R276" s="13"/>
      <x:c r="S276" s="13"/>
      <x:c r="T276" s="13"/>
      <x:c r="U276" s="14"/>
      <x:c r="V276" s="14"/>
      <x:c r="W276" s="16"/>
      <x:c r="X276" s="16"/>
      <x:c r="Y276" s="14"/>
      <x:c r="Z276" s="66" t="str">
        <x:f t="shared" si="16">IF(A276="","",IF(MAX(LEN(E276),LEN(F276),LEN(G276),LEN(H276))&gt;2*MIN(LEN(E276),LEN(F276),LEN(G276),LEN(H276)),"Review answer lengths",""))</x:f>
      </x:c>
      <x:c r="AA276" s="66" t="str">
        <x:f t="shared" si="17">IF(A276="","",IF(COUNTIF($A$2:$A$301,A276)&gt;1,"Duplicate ID",IF(COUNTIF($D$2:$D$301,D276)&gt;1,"Review repeated text","")))</x:f>
      </x:c>
      <x:c r="AB276" s="66" t="str">
        <x:f t="shared" si="18">IF(A276="","","Unique string or number; no numeric range required")</x:f>
      </x:c>
      <x:c r="AC276" s="66" t="str">
        <x:f>IF(A276="","",IF(OR(B276="",D276="",E276="",F276="",G276="",H276="",J276="",K276="",L276="",M276="",O276="",P276="",AND(I276="",AG276=""),AND(B276&lt;&gt;"repair",B276&lt;&gt;"bridge",C276="")),"INCOMPLETE","CHECK ONLINE"))</x:f>
      </x:c>
      <x:c r="AD276" s="67" t="str">
        <x:f>IF(A276="","",IF(AC276="INCOMPLETE","Fill required fields including RepairSkill and an answer. See Instructions.","Copy all columns with headers to the browser validator for full schema, assets and mode checks."))</x:f>
      </x:c>
      <x:c r="AE276" s="67" t="str">
        <x:f t="shared" si="19">IF(A276="","","https://masteryquests.org/tools/question-bank-validator/")</x:f>
      </x:c>
      <x:c r="AF276" s="60"/>
      <x:c r="AH276" s="60"/>
      <x:c r="AI276" s="60"/>
    </x:row>
    <x:row r="277" ht="45" customHeight="1">
      <x:c r="A277" s="15"/>
      <x:c r="B277" s="15"/>
      <x:c r="C277" s="15"/>
      <x:c r="D277" s="12"/>
      <x:c r="E277" s="12"/>
      <x:c r="F277" s="12"/>
      <x:c r="G277" s="12"/>
      <x:c r="H277" s="12"/>
      <x:c r="I277" s="15"/>
      <x:c r="J277" s="12"/>
      <x:c r="K277" s="12"/>
      <x:c r="L277" s="12"/>
      <x:c r="M277" s="12"/>
      <x:c r="N277" s="12"/>
      <x:c r="O277" s="13"/>
      <x:c r="P277" s="13"/>
      <x:c r="Q277" s="13"/>
      <x:c r="R277" s="13"/>
      <x:c r="S277" s="13"/>
      <x:c r="T277" s="13"/>
      <x:c r="U277" s="14"/>
      <x:c r="V277" s="14"/>
      <x:c r="W277" s="16"/>
      <x:c r="X277" s="16"/>
      <x:c r="Y277" s="14"/>
      <x:c r="Z277" s="66" t="str">
        <x:f t="shared" si="16">IF(A277="","",IF(MAX(LEN(E277),LEN(F277),LEN(G277),LEN(H277))&gt;2*MIN(LEN(E277),LEN(F277),LEN(G277),LEN(H277)),"Review answer lengths",""))</x:f>
      </x:c>
      <x:c r="AA277" s="66" t="str">
        <x:f t="shared" si="17">IF(A277="","",IF(COUNTIF($A$2:$A$301,A277)&gt;1,"Duplicate ID",IF(COUNTIF($D$2:$D$301,D277)&gt;1,"Review repeated text","")))</x:f>
      </x:c>
      <x:c r="AB277" s="66" t="str">
        <x:f t="shared" si="18">IF(A277="","","Unique string or number; no numeric range required")</x:f>
      </x:c>
      <x:c r="AC277" s="66" t="str">
        <x:f>IF(A277="","",IF(OR(B277="",D277="",E277="",F277="",G277="",H277="",J277="",K277="",L277="",M277="",O277="",P277="",AND(I277="",AG277=""),AND(B277&lt;&gt;"repair",B277&lt;&gt;"bridge",C277="")),"INCOMPLETE","CHECK ONLINE"))</x:f>
      </x:c>
      <x:c r="AD277" s="67" t="str">
        <x:f>IF(A277="","",IF(AC277="INCOMPLETE","Fill required fields including RepairSkill and an answer. See Instructions.","Copy all columns with headers to the browser validator for full schema, assets and mode checks."))</x:f>
      </x:c>
      <x:c r="AE277" s="67" t="str">
        <x:f t="shared" si="19">IF(A277="","","https://masteryquests.org/tools/question-bank-validator/")</x:f>
      </x:c>
      <x:c r="AF277" s="60"/>
      <x:c r="AH277" s="60"/>
      <x:c r="AI277" s="60"/>
    </x:row>
    <x:row r="278" ht="45" customHeight="1">
      <x:c r="A278" s="15"/>
      <x:c r="B278" s="15"/>
      <x:c r="C278" s="15"/>
      <x:c r="D278" s="12"/>
      <x:c r="E278" s="12"/>
      <x:c r="F278" s="12"/>
      <x:c r="G278" s="12"/>
      <x:c r="H278" s="12"/>
      <x:c r="I278" s="15"/>
      <x:c r="J278" s="12"/>
      <x:c r="K278" s="12"/>
      <x:c r="L278" s="12"/>
      <x:c r="M278" s="12"/>
      <x:c r="N278" s="12"/>
      <x:c r="O278" s="13"/>
      <x:c r="P278" s="13"/>
      <x:c r="Q278" s="13"/>
      <x:c r="R278" s="13"/>
      <x:c r="S278" s="13"/>
      <x:c r="T278" s="13"/>
      <x:c r="U278" s="14"/>
      <x:c r="V278" s="14"/>
      <x:c r="W278" s="16"/>
      <x:c r="X278" s="16"/>
      <x:c r="Y278" s="14"/>
      <x:c r="Z278" s="66" t="str">
        <x:f t="shared" si="16">IF(A278="","",IF(MAX(LEN(E278),LEN(F278),LEN(G278),LEN(H278))&gt;2*MIN(LEN(E278),LEN(F278),LEN(G278),LEN(H278)),"Review answer lengths",""))</x:f>
      </x:c>
      <x:c r="AA278" s="66" t="str">
        <x:f t="shared" si="17">IF(A278="","",IF(COUNTIF($A$2:$A$301,A278)&gt;1,"Duplicate ID",IF(COUNTIF($D$2:$D$301,D278)&gt;1,"Review repeated text","")))</x:f>
      </x:c>
      <x:c r="AB278" s="66" t="str">
        <x:f t="shared" si="18">IF(A278="","","Unique string or number; no numeric range required")</x:f>
      </x:c>
      <x:c r="AC278" s="66" t="str">
        <x:f>IF(A278="","",IF(OR(B278="",D278="",E278="",F278="",G278="",H278="",J278="",K278="",L278="",M278="",O278="",P278="",AND(I278="",AG278=""),AND(B278&lt;&gt;"repair",B278&lt;&gt;"bridge",C278="")),"INCOMPLETE","CHECK ONLINE"))</x:f>
      </x:c>
      <x:c r="AD278" s="67" t="str">
        <x:f>IF(A278="","",IF(AC278="INCOMPLETE","Fill required fields including RepairSkill and an answer. See Instructions.","Copy all columns with headers to the browser validator for full schema, assets and mode checks."))</x:f>
      </x:c>
      <x:c r="AE278" s="67" t="str">
        <x:f t="shared" si="19">IF(A278="","","https://masteryquests.org/tools/question-bank-validator/")</x:f>
      </x:c>
      <x:c r="AF278" s="60"/>
      <x:c r="AH278" s="60"/>
      <x:c r="AI278" s="60"/>
    </x:row>
    <x:row r="279" ht="45" customHeight="1">
      <x:c r="A279" s="15"/>
      <x:c r="B279" s="15"/>
      <x:c r="C279" s="15"/>
      <x:c r="D279" s="12"/>
      <x:c r="E279" s="12"/>
      <x:c r="F279" s="12"/>
      <x:c r="G279" s="12"/>
      <x:c r="H279" s="12"/>
      <x:c r="I279" s="15"/>
      <x:c r="J279" s="12"/>
      <x:c r="K279" s="12"/>
      <x:c r="L279" s="12"/>
      <x:c r="M279" s="12"/>
      <x:c r="N279" s="12"/>
      <x:c r="O279" s="13"/>
      <x:c r="P279" s="13"/>
      <x:c r="Q279" s="13"/>
      <x:c r="R279" s="13"/>
      <x:c r="S279" s="13"/>
      <x:c r="T279" s="13"/>
      <x:c r="U279" s="14"/>
      <x:c r="V279" s="14"/>
      <x:c r="W279" s="16"/>
      <x:c r="X279" s="16"/>
      <x:c r="Y279" s="14"/>
      <x:c r="Z279" s="66" t="str">
        <x:f t="shared" si="16">IF(A279="","",IF(MAX(LEN(E279),LEN(F279),LEN(G279),LEN(H279))&gt;2*MIN(LEN(E279),LEN(F279),LEN(G279),LEN(H279)),"Review answer lengths",""))</x:f>
      </x:c>
      <x:c r="AA279" s="66" t="str">
        <x:f t="shared" si="17">IF(A279="","",IF(COUNTIF($A$2:$A$301,A279)&gt;1,"Duplicate ID",IF(COUNTIF($D$2:$D$301,D279)&gt;1,"Review repeated text","")))</x:f>
      </x:c>
      <x:c r="AB279" s="66" t="str">
        <x:f t="shared" si="18">IF(A279="","","Unique string or number; no numeric range required")</x:f>
      </x:c>
      <x:c r="AC279" s="66" t="str">
        <x:f>IF(A279="","",IF(OR(B279="",D279="",E279="",F279="",G279="",H279="",J279="",K279="",L279="",M279="",O279="",P279="",AND(I279="",AG279=""),AND(B279&lt;&gt;"repair",B279&lt;&gt;"bridge",C279="")),"INCOMPLETE","CHECK ONLINE"))</x:f>
      </x:c>
      <x:c r="AD279" s="67" t="str">
        <x:f>IF(A279="","",IF(AC279="INCOMPLETE","Fill required fields including RepairSkill and an answer. See Instructions.","Copy all columns with headers to the browser validator for full schema, assets and mode checks."))</x:f>
      </x:c>
      <x:c r="AE279" s="67" t="str">
        <x:f t="shared" si="19">IF(A279="","","https://masteryquests.org/tools/question-bank-validator/")</x:f>
      </x:c>
      <x:c r="AF279" s="60"/>
      <x:c r="AH279" s="60"/>
      <x:c r="AI279" s="60"/>
    </x:row>
    <x:row r="280" ht="45" customHeight="1">
      <x:c r="A280" s="15"/>
      <x:c r="B280" s="15"/>
      <x:c r="C280" s="15"/>
      <x:c r="D280" s="12"/>
      <x:c r="E280" s="12"/>
      <x:c r="F280" s="12"/>
      <x:c r="G280" s="12"/>
      <x:c r="H280" s="12"/>
      <x:c r="I280" s="15"/>
      <x:c r="J280" s="12"/>
      <x:c r="K280" s="12"/>
      <x:c r="L280" s="12"/>
      <x:c r="M280" s="12"/>
      <x:c r="N280" s="12"/>
      <x:c r="O280" s="13"/>
      <x:c r="P280" s="13"/>
      <x:c r="Q280" s="13"/>
      <x:c r="R280" s="13"/>
      <x:c r="S280" s="13"/>
      <x:c r="T280" s="13"/>
      <x:c r="U280" s="14"/>
      <x:c r="V280" s="14"/>
      <x:c r="W280" s="16"/>
      <x:c r="X280" s="16"/>
      <x:c r="Y280" s="14"/>
      <x:c r="Z280" s="66" t="str">
        <x:f t="shared" si="16">IF(A280="","",IF(MAX(LEN(E280),LEN(F280),LEN(G280),LEN(H280))&gt;2*MIN(LEN(E280),LEN(F280),LEN(G280),LEN(H280)),"Review answer lengths",""))</x:f>
      </x:c>
      <x:c r="AA280" s="66" t="str">
        <x:f t="shared" si="17">IF(A280="","",IF(COUNTIF($A$2:$A$301,A280)&gt;1,"Duplicate ID",IF(COUNTIF($D$2:$D$301,D280)&gt;1,"Review repeated text","")))</x:f>
      </x:c>
      <x:c r="AB280" s="66" t="str">
        <x:f t="shared" si="18">IF(A280="","","Unique string or number; no numeric range required")</x:f>
      </x:c>
      <x:c r="AC280" s="66" t="str">
        <x:f>IF(A280="","",IF(OR(B280="",D280="",E280="",F280="",G280="",H280="",J280="",K280="",L280="",M280="",O280="",P280="",AND(I280="",AG280=""),AND(B280&lt;&gt;"repair",B280&lt;&gt;"bridge",C280="")),"INCOMPLETE","CHECK ONLINE"))</x:f>
      </x:c>
      <x:c r="AD280" s="67" t="str">
        <x:f>IF(A280="","",IF(AC280="INCOMPLETE","Fill required fields including RepairSkill and an answer. See Instructions.","Copy all columns with headers to the browser validator for full schema, assets and mode checks."))</x:f>
      </x:c>
      <x:c r="AE280" s="67" t="str">
        <x:f t="shared" si="19">IF(A280="","","https://masteryquests.org/tools/question-bank-validator/")</x:f>
      </x:c>
      <x:c r="AF280" s="60"/>
      <x:c r="AH280" s="60"/>
      <x:c r="AI280" s="60"/>
    </x:row>
    <x:row r="281" ht="45" customHeight="1">
      <x:c r="A281" s="15"/>
      <x:c r="B281" s="15"/>
      <x:c r="C281" s="15"/>
      <x:c r="D281" s="12"/>
      <x:c r="E281" s="12"/>
      <x:c r="F281" s="12"/>
      <x:c r="G281" s="12"/>
      <x:c r="H281" s="12"/>
      <x:c r="I281" s="15"/>
      <x:c r="J281" s="12"/>
      <x:c r="K281" s="12"/>
      <x:c r="L281" s="12"/>
      <x:c r="M281" s="12"/>
      <x:c r="N281" s="12"/>
      <x:c r="O281" s="13"/>
      <x:c r="P281" s="13"/>
      <x:c r="Q281" s="13"/>
      <x:c r="R281" s="13"/>
      <x:c r="S281" s="13"/>
      <x:c r="T281" s="13"/>
      <x:c r="U281" s="14"/>
      <x:c r="V281" s="14"/>
      <x:c r="W281" s="16"/>
      <x:c r="X281" s="16"/>
      <x:c r="Y281" s="14"/>
      <x:c r="Z281" s="66" t="str">
        <x:f t="shared" si="16">IF(A281="","",IF(MAX(LEN(E281),LEN(F281),LEN(G281),LEN(H281))&gt;2*MIN(LEN(E281),LEN(F281),LEN(G281),LEN(H281)),"Review answer lengths",""))</x:f>
      </x:c>
      <x:c r="AA281" s="66" t="str">
        <x:f t="shared" si="17">IF(A281="","",IF(COUNTIF($A$2:$A$301,A281)&gt;1,"Duplicate ID",IF(COUNTIF($D$2:$D$301,D281)&gt;1,"Review repeated text","")))</x:f>
      </x:c>
      <x:c r="AB281" s="66" t="str">
        <x:f t="shared" si="18">IF(A281="","","Unique string or number; no numeric range required")</x:f>
      </x:c>
      <x:c r="AC281" s="66" t="str">
        <x:f>IF(A281="","",IF(OR(B281="",D281="",E281="",F281="",G281="",H281="",J281="",K281="",L281="",M281="",O281="",P281="",AND(I281="",AG281=""),AND(B281&lt;&gt;"repair",B281&lt;&gt;"bridge",C281="")),"INCOMPLETE","CHECK ONLINE"))</x:f>
      </x:c>
      <x:c r="AD281" s="67" t="str">
        <x:f>IF(A281="","",IF(AC281="INCOMPLETE","Fill required fields including RepairSkill and an answer. See Instructions.","Copy all columns with headers to the browser validator for full schema, assets and mode checks."))</x:f>
      </x:c>
      <x:c r="AE281" s="67" t="str">
        <x:f t="shared" si="19">IF(A281="","","https://masteryquests.org/tools/question-bank-validator/")</x:f>
      </x:c>
      <x:c r="AF281" s="60"/>
      <x:c r="AH281" s="60"/>
      <x:c r="AI281" s="60"/>
    </x:row>
    <x:row r="282" ht="45" customHeight="1">
      <x:c r="A282" s="15"/>
      <x:c r="B282" s="15"/>
      <x:c r="C282" s="15"/>
      <x:c r="D282" s="12"/>
      <x:c r="E282" s="12"/>
      <x:c r="F282" s="12"/>
      <x:c r="G282" s="12"/>
      <x:c r="H282" s="12"/>
      <x:c r="I282" s="15"/>
      <x:c r="J282" s="12"/>
      <x:c r="K282" s="12"/>
      <x:c r="L282" s="12"/>
      <x:c r="M282" s="12"/>
      <x:c r="N282" s="12"/>
      <x:c r="O282" s="13"/>
      <x:c r="P282" s="13"/>
      <x:c r="Q282" s="13"/>
      <x:c r="R282" s="13"/>
      <x:c r="S282" s="13"/>
      <x:c r="T282" s="13"/>
      <x:c r="U282" s="14"/>
      <x:c r="V282" s="14"/>
      <x:c r="W282" s="16"/>
      <x:c r="X282" s="16"/>
      <x:c r="Y282" s="14"/>
      <x:c r="Z282" s="66" t="str">
        <x:f t="shared" si="16">IF(A282="","",IF(MAX(LEN(E282),LEN(F282),LEN(G282),LEN(H282))&gt;2*MIN(LEN(E282),LEN(F282),LEN(G282),LEN(H282)),"Review answer lengths",""))</x:f>
      </x:c>
      <x:c r="AA282" s="66" t="str">
        <x:f t="shared" si="17">IF(A282="","",IF(COUNTIF($A$2:$A$301,A282)&gt;1,"Duplicate ID",IF(COUNTIF($D$2:$D$301,D282)&gt;1,"Review repeated text","")))</x:f>
      </x:c>
      <x:c r="AB282" s="66" t="str">
        <x:f t="shared" si="18">IF(A282="","","Unique string or number; no numeric range required")</x:f>
      </x:c>
      <x:c r="AC282" s="66" t="str">
        <x:f>IF(A282="","",IF(OR(B282="",D282="",E282="",F282="",G282="",H282="",J282="",K282="",L282="",M282="",O282="",P282="",AND(I282="",AG282=""),AND(B282&lt;&gt;"repair",B282&lt;&gt;"bridge",C282="")),"INCOMPLETE","CHECK ONLINE"))</x:f>
      </x:c>
      <x:c r="AD282" s="67" t="str">
        <x:f>IF(A282="","",IF(AC282="INCOMPLETE","Fill required fields including RepairSkill and an answer. See Instructions.","Copy all columns with headers to the browser validator for full schema, assets and mode checks."))</x:f>
      </x:c>
      <x:c r="AE282" s="67" t="str">
        <x:f t="shared" si="19">IF(A282="","","https://masteryquests.org/tools/question-bank-validator/")</x:f>
      </x:c>
      <x:c r="AF282" s="60"/>
      <x:c r="AH282" s="60"/>
      <x:c r="AI282" s="60"/>
    </x:row>
    <x:row r="283" ht="45" customHeight="1">
      <x:c r="A283" s="15"/>
      <x:c r="B283" s="15"/>
      <x:c r="C283" s="15"/>
      <x:c r="D283" s="12"/>
      <x:c r="E283" s="12"/>
      <x:c r="F283" s="12"/>
      <x:c r="G283" s="12"/>
      <x:c r="H283" s="12"/>
      <x:c r="I283" s="15"/>
      <x:c r="J283" s="12"/>
      <x:c r="K283" s="12"/>
      <x:c r="L283" s="12"/>
      <x:c r="M283" s="12"/>
      <x:c r="N283" s="12"/>
      <x:c r="O283" s="13"/>
      <x:c r="P283" s="13"/>
      <x:c r="Q283" s="13"/>
      <x:c r="R283" s="13"/>
      <x:c r="S283" s="13"/>
      <x:c r="T283" s="13"/>
      <x:c r="U283" s="14"/>
      <x:c r="V283" s="14"/>
      <x:c r="W283" s="16"/>
      <x:c r="X283" s="16"/>
      <x:c r="Y283" s="14"/>
      <x:c r="Z283" s="66" t="str">
        <x:f t="shared" si="16">IF(A283="","",IF(MAX(LEN(E283),LEN(F283),LEN(G283),LEN(H283))&gt;2*MIN(LEN(E283),LEN(F283),LEN(G283),LEN(H283)),"Review answer lengths",""))</x:f>
      </x:c>
      <x:c r="AA283" s="66" t="str">
        <x:f t="shared" si="17">IF(A283="","",IF(COUNTIF($A$2:$A$301,A283)&gt;1,"Duplicate ID",IF(COUNTIF($D$2:$D$301,D283)&gt;1,"Review repeated text","")))</x:f>
      </x:c>
      <x:c r="AB283" s="66" t="str">
        <x:f t="shared" si="18">IF(A283="","","Unique string or number; no numeric range required")</x:f>
      </x:c>
      <x:c r="AC283" s="66" t="str">
        <x:f>IF(A283="","",IF(OR(B283="",D283="",E283="",F283="",G283="",H283="",J283="",K283="",L283="",M283="",O283="",P283="",AND(I283="",AG283=""),AND(B283&lt;&gt;"repair",B283&lt;&gt;"bridge",C283="")),"INCOMPLETE","CHECK ONLINE"))</x:f>
      </x:c>
      <x:c r="AD283" s="67" t="str">
        <x:f>IF(A283="","",IF(AC283="INCOMPLETE","Fill required fields including RepairSkill and an answer. See Instructions.","Copy all columns with headers to the browser validator for full schema, assets and mode checks."))</x:f>
      </x:c>
      <x:c r="AE283" s="67" t="str">
        <x:f t="shared" si="19">IF(A283="","","https://masteryquests.org/tools/question-bank-validator/")</x:f>
      </x:c>
      <x:c r="AF283" s="60"/>
      <x:c r="AH283" s="60"/>
      <x:c r="AI283" s="60"/>
    </x:row>
    <x:row r="284" ht="45" customHeight="1">
      <x:c r="A284" s="15"/>
      <x:c r="B284" s="15"/>
      <x:c r="C284" s="15"/>
      <x:c r="D284" s="12"/>
      <x:c r="E284" s="12"/>
      <x:c r="F284" s="12"/>
      <x:c r="G284" s="12"/>
      <x:c r="H284" s="12"/>
      <x:c r="I284" s="15"/>
      <x:c r="J284" s="12"/>
      <x:c r="K284" s="12"/>
      <x:c r="L284" s="12"/>
      <x:c r="M284" s="12"/>
      <x:c r="N284" s="12"/>
      <x:c r="O284" s="13"/>
      <x:c r="P284" s="13"/>
      <x:c r="Q284" s="13"/>
      <x:c r="R284" s="13"/>
      <x:c r="S284" s="13"/>
      <x:c r="T284" s="13"/>
      <x:c r="U284" s="14"/>
      <x:c r="V284" s="14"/>
      <x:c r="W284" s="16"/>
      <x:c r="X284" s="16"/>
      <x:c r="Y284" s="14"/>
      <x:c r="Z284" s="66" t="str">
        <x:f t="shared" si="16">IF(A284="","",IF(MAX(LEN(E284),LEN(F284),LEN(G284),LEN(H284))&gt;2*MIN(LEN(E284),LEN(F284),LEN(G284),LEN(H284)),"Review answer lengths",""))</x:f>
      </x:c>
      <x:c r="AA284" s="66" t="str">
        <x:f t="shared" si="17">IF(A284="","",IF(COUNTIF($A$2:$A$301,A284)&gt;1,"Duplicate ID",IF(COUNTIF($D$2:$D$301,D284)&gt;1,"Review repeated text","")))</x:f>
      </x:c>
      <x:c r="AB284" s="66" t="str">
        <x:f t="shared" si="18">IF(A284="","","Unique string or number; no numeric range required")</x:f>
      </x:c>
      <x:c r="AC284" s="66" t="str">
        <x:f>IF(A284="","",IF(OR(B284="",D284="",E284="",F284="",G284="",H284="",J284="",K284="",L284="",M284="",O284="",P284="",AND(I284="",AG284=""),AND(B284&lt;&gt;"repair",B284&lt;&gt;"bridge",C284="")),"INCOMPLETE","CHECK ONLINE"))</x:f>
      </x:c>
      <x:c r="AD284" s="67" t="str">
        <x:f>IF(A284="","",IF(AC284="INCOMPLETE","Fill required fields including RepairSkill and an answer. See Instructions.","Copy all columns with headers to the browser validator for full schema, assets and mode checks."))</x:f>
      </x:c>
      <x:c r="AE284" s="67" t="str">
        <x:f t="shared" si="19">IF(A284="","","https://masteryquests.org/tools/question-bank-validator/")</x:f>
      </x:c>
      <x:c r="AF284" s="60"/>
      <x:c r="AH284" s="60"/>
      <x:c r="AI284" s="60"/>
    </x:row>
    <x:row r="285" ht="45" customHeight="1">
      <x:c r="A285" s="15"/>
      <x:c r="B285" s="15"/>
      <x:c r="C285" s="15"/>
      <x:c r="D285" s="12"/>
      <x:c r="E285" s="12"/>
      <x:c r="F285" s="12"/>
      <x:c r="G285" s="12"/>
      <x:c r="H285" s="12"/>
      <x:c r="I285" s="15"/>
      <x:c r="J285" s="12"/>
      <x:c r="K285" s="12"/>
      <x:c r="L285" s="12"/>
      <x:c r="M285" s="12"/>
      <x:c r="N285" s="12"/>
      <x:c r="O285" s="13"/>
      <x:c r="P285" s="13"/>
      <x:c r="Q285" s="13"/>
      <x:c r="R285" s="13"/>
      <x:c r="S285" s="13"/>
      <x:c r="T285" s="13"/>
      <x:c r="U285" s="14"/>
      <x:c r="V285" s="14"/>
      <x:c r="W285" s="16"/>
      <x:c r="X285" s="16"/>
      <x:c r="Y285" s="14"/>
      <x:c r="Z285" s="66" t="str">
        <x:f t="shared" si="16">IF(A285="","",IF(MAX(LEN(E285),LEN(F285),LEN(G285),LEN(H285))&gt;2*MIN(LEN(E285),LEN(F285),LEN(G285),LEN(H285)),"Review answer lengths",""))</x:f>
      </x:c>
      <x:c r="AA285" s="66" t="str">
        <x:f t="shared" si="17">IF(A285="","",IF(COUNTIF($A$2:$A$301,A285)&gt;1,"Duplicate ID",IF(COUNTIF($D$2:$D$301,D285)&gt;1,"Review repeated text","")))</x:f>
      </x:c>
      <x:c r="AB285" s="66" t="str">
        <x:f t="shared" si="18">IF(A285="","","Unique string or number; no numeric range required")</x:f>
      </x:c>
      <x:c r="AC285" s="66" t="str">
        <x:f>IF(A285="","",IF(OR(B285="",D285="",E285="",F285="",G285="",H285="",J285="",K285="",L285="",M285="",O285="",P285="",AND(I285="",AG285=""),AND(B285&lt;&gt;"repair",B285&lt;&gt;"bridge",C285="")),"INCOMPLETE","CHECK ONLINE"))</x:f>
      </x:c>
      <x:c r="AD285" s="67" t="str">
        <x:f>IF(A285="","",IF(AC285="INCOMPLETE","Fill required fields including RepairSkill and an answer. See Instructions.","Copy all columns with headers to the browser validator for full schema, assets and mode checks."))</x:f>
      </x:c>
      <x:c r="AE285" s="67" t="str">
        <x:f t="shared" si="19">IF(A285="","","https://masteryquests.org/tools/question-bank-validator/")</x:f>
      </x:c>
      <x:c r="AF285" s="60"/>
      <x:c r="AH285" s="60"/>
      <x:c r="AI285" s="60"/>
    </x:row>
    <x:row r="286" ht="45" customHeight="1">
      <x:c r="A286" s="15"/>
      <x:c r="B286" s="15"/>
      <x:c r="C286" s="15"/>
      <x:c r="D286" s="12"/>
      <x:c r="E286" s="12"/>
      <x:c r="F286" s="12"/>
      <x:c r="G286" s="12"/>
      <x:c r="H286" s="12"/>
      <x:c r="I286" s="15"/>
      <x:c r="J286" s="12"/>
      <x:c r="K286" s="12"/>
      <x:c r="L286" s="12"/>
      <x:c r="M286" s="12"/>
      <x:c r="N286" s="12"/>
      <x:c r="O286" s="13"/>
      <x:c r="P286" s="13"/>
      <x:c r="Q286" s="13"/>
      <x:c r="R286" s="13"/>
      <x:c r="S286" s="13"/>
      <x:c r="T286" s="13"/>
      <x:c r="U286" s="14"/>
      <x:c r="V286" s="14"/>
      <x:c r="W286" s="16"/>
      <x:c r="X286" s="16"/>
      <x:c r="Y286" s="14"/>
      <x:c r="Z286" s="66" t="str">
        <x:f t="shared" si="16">IF(A286="","",IF(MAX(LEN(E286),LEN(F286),LEN(G286),LEN(H286))&gt;2*MIN(LEN(E286),LEN(F286),LEN(G286),LEN(H286)),"Review answer lengths",""))</x:f>
      </x:c>
      <x:c r="AA286" s="66" t="str">
        <x:f t="shared" si="17">IF(A286="","",IF(COUNTIF($A$2:$A$301,A286)&gt;1,"Duplicate ID",IF(COUNTIF($D$2:$D$301,D286)&gt;1,"Review repeated text","")))</x:f>
      </x:c>
      <x:c r="AB286" s="66" t="str">
        <x:f t="shared" si="18">IF(A286="","","Unique string or number; no numeric range required")</x:f>
      </x:c>
      <x:c r="AC286" s="66" t="str">
        <x:f>IF(A286="","",IF(OR(B286="",D286="",E286="",F286="",G286="",H286="",J286="",K286="",L286="",M286="",O286="",P286="",AND(I286="",AG286=""),AND(B286&lt;&gt;"repair",B286&lt;&gt;"bridge",C286="")),"INCOMPLETE","CHECK ONLINE"))</x:f>
      </x:c>
      <x:c r="AD286" s="67" t="str">
        <x:f>IF(A286="","",IF(AC286="INCOMPLETE","Fill required fields including RepairSkill and an answer. See Instructions.","Copy all columns with headers to the browser validator for full schema, assets and mode checks."))</x:f>
      </x:c>
      <x:c r="AE286" s="67" t="str">
        <x:f t="shared" si="19">IF(A286="","","https://masteryquests.org/tools/question-bank-validator/")</x:f>
      </x:c>
      <x:c r="AF286" s="60"/>
      <x:c r="AH286" s="60"/>
      <x:c r="AI286" s="60"/>
    </x:row>
    <x:row r="287" ht="45" customHeight="1">
      <x:c r="A287" s="15"/>
      <x:c r="B287" s="15"/>
      <x:c r="C287" s="15"/>
      <x:c r="D287" s="12"/>
      <x:c r="E287" s="12"/>
      <x:c r="F287" s="12"/>
      <x:c r="G287" s="12"/>
      <x:c r="H287" s="12"/>
      <x:c r="I287" s="15"/>
      <x:c r="J287" s="12"/>
      <x:c r="K287" s="12"/>
      <x:c r="L287" s="12"/>
      <x:c r="M287" s="12"/>
      <x:c r="N287" s="12"/>
      <x:c r="O287" s="13"/>
      <x:c r="P287" s="13"/>
      <x:c r="Q287" s="13"/>
      <x:c r="R287" s="13"/>
      <x:c r="S287" s="13"/>
      <x:c r="T287" s="13"/>
      <x:c r="U287" s="14"/>
      <x:c r="V287" s="14"/>
      <x:c r="W287" s="16"/>
      <x:c r="X287" s="16"/>
      <x:c r="Y287" s="14"/>
      <x:c r="Z287" s="66" t="str">
        <x:f t="shared" si="16">IF(A287="","",IF(MAX(LEN(E287),LEN(F287),LEN(G287),LEN(H287))&gt;2*MIN(LEN(E287),LEN(F287),LEN(G287),LEN(H287)),"Review answer lengths",""))</x:f>
      </x:c>
      <x:c r="AA287" s="66" t="str">
        <x:f t="shared" si="17">IF(A287="","",IF(COUNTIF($A$2:$A$301,A287)&gt;1,"Duplicate ID",IF(COUNTIF($D$2:$D$301,D287)&gt;1,"Review repeated text","")))</x:f>
      </x:c>
      <x:c r="AB287" s="66" t="str">
        <x:f t="shared" si="18">IF(A287="","","Unique string or number; no numeric range required")</x:f>
      </x:c>
      <x:c r="AC287" s="66" t="str">
        <x:f>IF(A287="","",IF(OR(B287="",D287="",E287="",F287="",G287="",H287="",J287="",K287="",L287="",M287="",O287="",P287="",AND(I287="",AG287=""),AND(B287&lt;&gt;"repair",B287&lt;&gt;"bridge",C287="")),"INCOMPLETE","CHECK ONLINE"))</x:f>
      </x:c>
      <x:c r="AD287" s="67" t="str">
        <x:f>IF(A287="","",IF(AC287="INCOMPLETE","Fill required fields including RepairSkill and an answer. See Instructions.","Copy all columns with headers to the browser validator for full schema, assets and mode checks."))</x:f>
      </x:c>
      <x:c r="AE287" s="67" t="str">
        <x:f t="shared" si="19">IF(A287="","","https://masteryquests.org/tools/question-bank-validator/")</x:f>
      </x:c>
      <x:c r="AF287" s="60"/>
      <x:c r="AH287" s="60"/>
      <x:c r="AI287" s="60"/>
    </x:row>
    <x:row r="288" ht="45" customHeight="1">
      <x:c r="A288" s="15"/>
      <x:c r="B288" s="15"/>
      <x:c r="C288" s="15"/>
      <x:c r="D288" s="12"/>
      <x:c r="E288" s="12"/>
      <x:c r="F288" s="12"/>
      <x:c r="G288" s="12"/>
      <x:c r="H288" s="12"/>
      <x:c r="I288" s="15"/>
      <x:c r="J288" s="12"/>
      <x:c r="K288" s="12"/>
      <x:c r="L288" s="12"/>
      <x:c r="M288" s="12"/>
      <x:c r="N288" s="12"/>
      <x:c r="O288" s="13"/>
      <x:c r="P288" s="13"/>
      <x:c r="Q288" s="13"/>
      <x:c r="R288" s="13"/>
      <x:c r="S288" s="13"/>
      <x:c r="T288" s="13"/>
      <x:c r="U288" s="14"/>
      <x:c r="V288" s="14"/>
      <x:c r="W288" s="16"/>
      <x:c r="X288" s="16"/>
      <x:c r="Y288" s="14"/>
      <x:c r="Z288" s="66" t="str">
        <x:f t="shared" si="16">IF(A288="","",IF(MAX(LEN(E288),LEN(F288),LEN(G288),LEN(H288))&gt;2*MIN(LEN(E288),LEN(F288),LEN(G288),LEN(H288)),"Review answer lengths",""))</x:f>
      </x:c>
      <x:c r="AA288" s="66" t="str">
        <x:f t="shared" si="17">IF(A288="","",IF(COUNTIF($A$2:$A$301,A288)&gt;1,"Duplicate ID",IF(COUNTIF($D$2:$D$301,D288)&gt;1,"Review repeated text","")))</x:f>
      </x:c>
      <x:c r="AB288" s="66" t="str">
        <x:f t="shared" si="18">IF(A288="","","Unique string or number; no numeric range required")</x:f>
      </x:c>
      <x:c r="AC288" s="66" t="str">
        <x:f>IF(A288="","",IF(OR(B288="",D288="",E288="",F288="",G288="",H288="",J288="",K288="",L288="",M288="",O288="",P288="",AND(I288="",AG288=""),AND(B288&lt;&gt;"repair",B288&lt;&gt;"bridge",C288="")),"INCOMPLETE","CHECK ONLINE"))</x:f>
      </x:c>
      <x:c r="AD288" s="67" t="str">
        <x:f>IF(A288="","",IF(AC288="INCOMPLETE","Fill required fields including RepairSkill and an answer. See Instructions.","Copy all columns with headers to the browser validator for full schema, assets and mode checks."))</x:f>
      </x:c>
      <x:c r="AE288" s="67" t="str">
        <x:f t="shared" si="19">IF(A288="","","https://masteryquests.org/tools/question-bank-validator/")</x:f>
      </x:c>
      <x:c r="AF288" s="60"/>
      <x:c r="AH288" s="60"/>
      <x:c r="AI288" s="60"/>
    </x:row>
    <x:row r="289" ht="45" customHeight="1">
      <x:c r="A289" s="15"/>
      <x:c r="B289" s="15"/>
      <x:c r="C289" s="15"/>
      <x:c r="D289" s="12"/>
      <x:c r="E289" s="12"/>
      <x:c r="F289" s="12"/>
      <x:c r="G289" s="12"/>
      <x:c r="H289" s="12"/>
      <x:c r="I289" s="15"/>
      <x:c r="J289" s="12"/>
      <x:c r="K289" s="12"/>
      <x:c r="L289" s="12"/>
      <x:c r="M289" s="12"/>
      <x:c r="N289" s="12"/>
      <x:c r="O289" s="13"/>
      <x:c r="P289" s="13"/>
      <x:c r="Q289" s="13"/>
      <x:c r="R289" s="13"/>
      <x:c r="S289" s="13"/>
      <x:c r="T289" s="13"/>
      <x:c r="U289" s="14"/>
      <x:c r="V289" s="14"/>
      <x:c r="W289" s="16"/>
      <x:c r="X289" s="16"/>
      <x:c r="Y289" s="14"/>
      <x:c r="Z289" s="66" t="str">
        <x:f t="shared" si="16">IF(A289="","",IF(MAX(LEN(E289),LEN(F289),LEN(G289),LEN(H289))&gt;2*MIN(LEN(E289),LEN(F289),LEN(G289),LEN(H289)),"Review answer lengths",""))</x:f>
      </x:c>
      <x:c r="AA289" s="66" t="str">
        <x:f t="shared" si="17">IF(A289="","",IF(COUNTIF($A$2:$A$301,A289)&gt;1,"Duplicate ID",IF(COUNTIF($D$2:$D$301,D289)&gt;1,"Review repeated text","")))</x:f>
      </x:c>
      <x:c r="AB289" s="66" t="str">
        <x:f t="shared" si="18">IF(A289="","","Unique string or number; no numeric range required")</x:f>
      </x:c>
      <x:c r="AC289" s="66" t="str">
        <x:f>IF(A289="","",IF(OR(B289="",D289="",E289="",F289="",G289="",H289="",J289="",K289="",L289="",M289="",O289="",P289="",AND(I289="",AG289=""),AND(B289&lt;&gt;"repair",B289&lt;&gt;"bridge",C289="")),"INCOMPLETE","CHECK ONLINE"))</x:f>
      </x:c>
      <x:c r="AD289" s="67" t="str">
        <x:f>IF(A289="","",IF(AC289="INCOMPLETE","Fill required fields including RepairSkill and an answer. See Instructions.","Copy all columns with headers to the browser validator for full schema, assets and mode checks."))</x:f>
      </x:c>
      <x:c r="AE289" s="67" t="str">
        <x:f t="shared" si="19">IF(A289="","","https://masteryquests.org/tools/question-bank-validator/")</x:f>
      </x:c>
      <x:c r="AF289" s="60"/>
      <x:c r="AH289" s="60"/>
      <x:c r="AI289" s="60"/>
    </x:row>
    <x:row r="290" ht="45" customHeight="1">
      <x:c r="A290" s="15"/>
      <x:c r="B290" s="15"/>
      <x:c r="C290" s="15"/>
      <x:c r="D290" s="12"/>
      <x:c r="E290" s="12"/>
      <x:c r="F290" s="12"/>
      <x:c r="G290" s="12"/>
      <x:c r="H290" s="12"/>
      <x:c r="I290" s="15"/>
      <x:c r="J290" s="12"/>
      <x:c r="K290" s="12"/>
      <x:c r="L290" s="12"/>
      <x:c r="M290" s="12"/>
      <x:c r="N290" s="12"/>
      <x:c r="O290" s="13"/>
      <x:c r="P290" s="13"/>
      <x:c r="Q290" s="13"/>
      <x:c r="R290" s="13"/>
      <x:c r="S290" s="13"/>
      <x:c r="T290" s="13"/>
      <x:c r="U290" s="14"/>
      <x:c r="V290" s="14"/>
      <x:c r="W290" s="16"/>
      <x:c r="X290" s="16"/>
      <x:c r="Y290" s="14"/>
      <x:c r="Z290" s="66" t="str">
        <x:f t="shared" si="16">IF(A290="","",IF(MAX(LEN(E290),LEN(F290),LEN(G290),LEN(H290))&gt;2*MIN(LEN(E290),LEN(F290),LEN(G290),LEN(H290)),"Review answer lengths",""))</x:f>
      </x:c>
      <x:c r="AA290" s="66" t="str">
        <x:f t="shared" si="17">IF(A290="","",IF(COUNTIF($A$2:$A$301,A290)&gt;1,"Duplicate ID",IF(COUNTIF($D$2:$D$301,D290)&gt;1,"Review repeated text","")))</x:f>
      </x:c>
      <x:c r="AB290" s="66" t="str">
        <x:f t="shared" si="18">IF(A290="","","Unique string or number; no numeric range required")</x:f>
      </x:c>
      <x:c r="AC290" s="66" t="str">
        <x:f>IF(A290="","",IF(OR(B290="",D290="",E290="",F290="",G290="",H290="",J290="",K290="",L290="",M290="",O290="",P290="",AND(I290="",AG290=""),AND(B290&lt;&gt;"repair",B290&lt;&gt;"bridge",C290="")),"INCOMPLETE","CHECK ONLINE"))</x:f>
      </x:c>
      <x:c r="AD290" s="67" t="str">
        <x:f>IF(A290="","",IF(AC290="INCOMPLETE","Fill required fields including RepairSkill and an answer. See Instructions.","Copy all columns with headers to the browser validator for full schema, assets and mode checks."))</x:f>
      </x:c>
      <x:c r="AE290" s="67" t="str">
        <x:f t="shared" si="19">IF(A290="","","https://masteryquests.org/tools/question-bank-validator/")</x:f>
      </x:c>
      <x:c r="AF290" s="60"/>
      <x:c r="AH290" s="60"/>
      <x:c r="AI290" s="60"/>
    </x:row>
    <x:row r="291" ht="45" customHeight="1">
      <x:c r="A291" s="15"/>
      <x:c r="B291" s="15"/>
      <x:c r="C291" s="15"/>
      <x:c r="D291" s="12"/>
      <x:c r="E291" s="12"/>
      <x:c r="F291" s="12"/>
      <x:c r="G291" s="12"/>
      <x:c r="H291" s="12"/>
      <x:c r="I291" s="15"/>
      <x:c r="J291" s="12"/>
      <x:c r="K291" s="12"/>
      <x:c r="L291" s="12"/>
      <x:c r="M291" s="12"/>
      <x:c r="N291" s="12"/>
      <x:c r="O291" s="13"/>
      <x:c r="P291" s="13"/>
      <x:c r="Q291" s="13"/>
      <x:c r="R291" s="13"/>
      <x:c r="S291" s="13"/>
      <x:c r="T291" s="13"/>
      <x:c r="U291" s="14"/>
      <x:c r="V291" s="14"/>
      <x:c r="W291" s="16"/>
      <x:c r="X291" s="16"/>
      <x:c r="Y291" s="14"/>
      <x:c r="Z291" s="66" t="str">
        <x:f t="shared" si="16">IF(A291="","",IF(MAX(LEN(E291),LEN(F291),LEN(G291),LEN(H291))&gt;2*MIN(LEN(E291),LEN(F291),LEN(G291),LEN(H291)),"Review answer lengths",""))</x:f>
      </x:c>
      <x:c r="AA291" s="66" t="str">
        <x:f t="shared" si="17">IF(A291="","",IF(COUNTIF($A$2:$A$301,A291)&gt;1,"Duplicate ID",IF(COUNTIF($D$2:$D$301,D291)&gt;1,"Review repeated text","")))</x:f>
      </x:c>
      <x:c r="AB291" s="66" t="str">
        <x:f t="shared" si="18">IF(A291="","","Unique string or number; no numeric range required")</x:f>
      </x:c>
      <x:c r="AC291" s="66" t="str">
        <x:f>IF(A291="","",IF(OR(B291="",D291="",E291="",F291="",G291="",H291="",J291="",K291="",L291="",M291="",O291="",P291="",AND(I291="",AG291=""),AND(B291&lt;&gt;"repair",B291&lt;&gt;"bridge",C291="")),"INCOMPLETE","CHECK ONLINE"))</x:f>
      </x:c>
      <x:c r="AD291" s="67" t="str">
        <x:f>IF(A291="","",IF(AC291="INCOMPLETE","Fill required fields including RepairSkill and an answer. See Instructions.","Copy all columns with headers to the browser validator for full schema, assets and mode checks."))</x:f>
      </x:c>
      <x:c r="AE291" s="67" t="str">
        <x:f t="shared" si="19">IF(A291="","","https://masteryquests.org/tools/question-bank-validator/")</x:f>
      </x:c>
      <x:c r="AF291" s="60"/>
      <x:c r="AH291" s="60"/>
      <x:c r="AI291" s="60"/>
    </x:row>
    <x:row r="292" ht="45" customHeight="1">
      <x:c r="A292" s="15"/>
      <x:c r="B292" s="15"/>
      <x:c r="C292" s="15"/>
      <x:c r="D292" s="12"/>
      <x:c r="E292" s="12"/>
      <x:c r="F292" s="12"/>
      <x:c r="G292" s="12"/>
      <x:c r="H292" s="12"/>
      <x:c r="I292" s="15"/>
      <x:c r="J292" s="12"/>
      <x:c r="K292" s="12"/>
      <x:c r="L292" s="12"/>
      <x:c r="M292" s="12"/>
      <x:c r="N292" s="12"/>
      <x:c r="O292" s="13"/>
      <x:c r="P292" s="13"/>
      <x:c r="Q292" s="13"/>
      <x:c r="R292" s="13"/>
      <x:c r="S292" s="13"/>
      <x:c r="T292" s="13"/>
      <x:c r="U292" s="14"/>
      <x:c r="V292" s="14"/>
      <x:c r="W292" s="16"/>
      <x:c r="X292" s="16"/>
      <x:c r="Y292" s="14"/>
      <x:c r="Z292" s="66" t="str">
        <x:f t="shared" si="16">IF(A292="","",IF(MAX(LEN(E292),LEN(F292),LEN(G292),LEN(H292))&gt;2*MIN(LEN(E292),LEN(F292),LEN(G292),LEN(H292)),"Review answer lengths",""))</x:f>
      </x:c>
      <x:c r="AA292" s="66" t="str">
        <x:f t="shared" si="17">IF(A292="","",IF(COUNTIF($A$2:$A$301,A292)&gt;1,"Duplicate ID",IF(COUNTIF($D$2:$D$301,D292)&gt;1,"Review repeated text","")))</x:f>
      </x:c>
      <x:c r="AB292" s="66" t="str">
        <x:f t="shared" si="18">IF(A292="","","Unique string or number; no numeric range required")</x:f>
      </x:c>
      <x:c r="AC292" s="66" t="str">
        <x:f>IF(A292="","",IF(OR(B292="",D292="",E292="",F292="",G292="",H292="",J292="",K292="",L292="",M292="",O292="",P292="",AND(I292="",AG292=""),AND(B292&lt;&gt;"repair",B292&lt;&gt;"bridge",C292="")),"INCOMPLETE","CHECK ONLINE"))</x:f>
      </x:c>
      <x:c r="AD292" s="67" t="str">
        <x:f>IF(A292="","",IF(AC292="INCOMPLETE","Fill required fields including RepairSkill and an answer. See Instructions.","Copy all columns with headers to the browser validator for full schema, assets and mode checks."))</x:f>
      </x:c>
      <x:c r="AE292" s="67" t="str">
        <x:f t="shared" si="19">IF(A292="","","https://masteryquests.org/tools/question-bank-validator/")</x:f>
      </x:c>
      <x:c r="AF292" s="60"/>
      <x:c r="AH292" s="60"/>
      <x:c r="AI292" s="60"/>
    </x:row>
    <x:row r="293" ht="45" customHeight="1">
      <x:c r="A293" s="15"/>
      <x:c r="B293" s="15"/>
      <x:c r="C293" s="15"/>
      <x:c r="D293" s="12"/>
      <x:c r="E293" s="12"/>
      <x:c r="F293" s="12"/>
      <x:c r="G293" s="12"/>
      <x:c r="H293" s="12"/>
      <x:c r="I293" s="15"/>
      <x:c r="J293" s="12"/>
      <x:c r="K293" s="12"/>
      <x:c r="L293" s="12"/>
      <x:c r="M293" s="12"/>
      <x:c r="N293" s="12"/>
      <x:c r="O293" s="13"/>
      <x:c r="P293" s="13"/>
      <x:c r="Q293" s="13"/>
      <x:c r="R293" s="13"/>
      <x:c r="S293" s="13"/>
      <x:c r="T293" s="13"/>
      <x:c r="U293" s="14"/>
      <x:c r="V293" s="14"/>
      <x:c r="W293" s="16"/>
      <x:c r="X293" s="16"/>
      <x:c r="Y293" s="14"/>
      <x:c r="Z293" s="66" t="str">
        <x:f t="shared" si="16">IF(A293="","",IF(MAX(LEN(E293),LEN(F293),LEN(G293),LEN(H293))&gt;2*MIN(LEN(E293),LEN(F293),LEN(G293),LEN(H293)),"Review answer lengths",""))</x:f>
      </x:c>
      <x:c r="AA293" s="66" t="str">
        <x:f t="shared" si="17">IF(A293="","",IF(COUNTIF($A$2:$A$301,A293)&gt;1,"Duplicate ID",IF(COUNTIF($D$2:$D$301,D293)&gt;1,"Review repeated text","")))</x:f>
      </x:c>
      <x:c r="AB293" s="66" t="str">
        <x:f t="shared" si="18">IF(A293="","","Unique string or number; no numeric range required")</x:f>
      </x:c>
      <x:c r="AC293" s="66" t="str">
        <x:f>IF(A293="","",IF(OR(B293="",D293="",E293="",F293="",G293="",H293="",J293="",K293="",L293="",M293="",O293="",P293="",AND(I293="",AG293=""),AND(B293&lt;&gt;"repair",B293&lt;&gt;"bridge",C293="")),"INCOMPLETE","CHECK ONLINE"))</x:f>
      </x:c>
      <x:c r="AD293" s="67" t="str">
        <x:f>IF(A293="","",IF(AC293="INCOMPLETE","Fill required fields including RepairSkill and an answer. See Instructions.","Copy all columns with headers to the browser validator for full schema, assets and mode checks."))</x:f>
      </x:c>
      <x:c r="AE293" s="67" t="str">
        <x:f t="shared" si="19">IF(A293="","","https://masteryquests.org/tools/question-bank-validator/")</x:f>
      </x:c>
      <x:c r="AF293" s="60"/>
      <x:c r="AH293" s="60"/>
      <x:c r="AI293" s="60"/>
    </x:row>
    <x:row r="294" ht="45" customHeight="1">
      <x:c r="A294" s="15"/>
      <x:c r="B294" s="15"/>
      <x:c r="C294" s="15"/>
      <x:c r="D294" s="12"/>
      <x:c r="E294" s="12"/>
      <x:c r="F294" s="12"/>
      <x:c r="G294" s="12"/>
      <x:c r="H294" s="12"/>
      <x:c r="I294" s="15"/>
      <x:c r="J294" s="12"/>
      <x:c r="K294" s="12"/>
      <x:c r="L294" s="12"/>
      <x:c r="M294" s="12"/>
      <x:c r="N294" s="12"/>
      <x:c r="O294" s="13"/>
      <x:c r="P294" s="13"/>
      <x:c r="Q294" s="13"/>
      <x:c r="R294" s="13"/>
      <x:c r="S294" s="13"/>
      <x:c r="T294" s="13"/>
      <x:c r="U294" s="14"/>
      <x:c r="V294" s="14"/>
      <x:c r="W294" s="16"/>
      <x:c r="X294" s="16"/>
      <x:c r="Y294" s="14"/>
      <x:c r="Z294" s="66" t="str">
        <x:f t="shared" si="16">IF(A294="","",IF(MAX(LEN(E294),LEN(F294),LEN(G294),LEN(H294))&gt;2*MIN(LEN(E294),LEN(F294),LEN(G294),LEN(H294)),"Review answer lengths",""))</x:f>
      </x:c>
      <x:c r="AA294" s="66" t="str">
        <x:f t="shared" si="17">IF(A294="","",IF(COUNTIF($A$2:$A$301,A294)&gt;1,"Duplicate ID",IF(COUNTIF($D$2:$D$301,D294)&gt;1,"Review repeated text","")))</x:f>
      </x:c>
      <x:c r="AB294" s="66" t="str">
        <x:f t="shared" si="18">IF(A294="","","Unique string or number; no numeric range required")</x:f>
      </x:c>
      <x:c r="AC294" s="66" t="str">
        <x:f>IF(A294="","",IF(OR(B294="",D294="",E294="",F294="",G294="",H294="",J294="",K294="",L294="",M294="",O294="",P294="",AND(I294="",AG294=""),AND(B294&lt;&gt;"repair",B294&lt;&gt;"bridge",C294="")),"INCOMPLETE","CHECK ONLINE"))</x:f>
      </x:c>
      <x:c r="AD294" s="67" t="str">
        <x:f>IF(A294="","",IF(AC294="INCOMPLETE","Fill required fields including RepairSkill and an answer. See Instructions.","Copy all columns with headers to the browser validator for full schema, assets and mode checks."))</x:f>
      </x:c>
      <x:c r="AE294" s="67" t="str">
        <x:f t="shared" si="19">IF(A294="","","https://masteryquests.org/tools/question-bank-validator/")</x:f>
      </x:c>
      <x:c r="AF294" s="60"/>
      <x:c r="AH294" s="60"/>
      <x:c r="AI294" s="60"/>
    </x:row>
    <x:row r="295" ht="45" customHeight="1">
      <x:c r="A295" s="15"/>
      <x:c r="B295" s="15"/>
      <x:c r="C295" s="15"/>
      <x:c r="D295" s="12"/>
      <x:c r="E295" s="12"/>
      <x:c r="F295" s="12"/>
      <x:c r="G295" s="12"/>
      <x:c r="H295" s="12"/>
      <x:c r="I295" s="15"/>
      <x:c r="J295" s="12"/>
      <x:c r="K295" s="12"/>
      <x:c r="L295" s="12"/>
      <x:c r="M295" s="12"/>
      <x:c r="N295" s="12"/>
      <x:c r="O295" s="13"/>
      <x:c r="P295" s="13"/>
      <x:c r="Q295" s="13"/>
      <x:c r="R295" s="13"/>
      <x:c r="S295" s="13"/>
      <x:c r="T295" s="13"/>
      <x:c r="U295" s="14"/>
      <x:c r="V295" s="14"/>
      <x:c r="W295" s="16"/>
      <x:c r="X295" s="16"/>
      <x:c r="Y295" s="14"/>
      <x:c r="Z295" s="66" t="str">
        <x:f t="shared" si="16">IF(A295="","",IF(MAX(LEN(E295),LEN(F295),LEN(G295),LEN(H295))&gt;2*MIN(LEN(E295),LEN(F295),LEN(G295),LEN(H295)),"Review answer lengths",""))</x:f>
      </x:c>
      <x:c r="AA295" s="66" t="str">
        <x:f t="shared" si="17">IF(A295="","",IF(COUNTIF($A$2:$A$301,A295)&gt;1,"Duplicate ID",IF(COUNTIF($D$2:$D$301,D295)&gt;1,"Review repeated text","")))</x:f>
      </x:c>
      <x:c r="AB295" s="66" t="str">
        <x:f t="shared" si="18">IF(A295="","","Unique string or number; no numeric range required")</x:f>
      </x:c>
      <x:c r="AC295" s="66" t="str">
        <x:f>IF(A295="","",IF(OR(B295="",D295="",E295="",F295="",G295="",H295="",J295="",K295="",L295="",M295="",O295="",P295="",AND(I295="",AG295=""),AND(B295&lt;&gt;"repair",B295&lt;&gt;"bridge",C295="")),"INCOMPLETE","CHECK ONLINE"))</x:f>
      </x:c>
      <x:c r="AD295" s="67" t="str">
        <x:f>IF(A295="","",IF(AC295="INCOMPLETE","Fill required fields including RepairSkill and an answer. See Instructions.","Copy all columns with headers to the browser validator for full schema, assets and mode checks."))</x:f>
      </x:c>
      <x:c r="AE295" s="67" t="str">
        <x:f t="shared" si="19">IF(A295="","","https://masteryquests.org/tools/question-bank-validator/")</x:f>
      </x:c>
      <x:c r="AF295" s="60"/>
      <x:c r="AH295" s="60"/>
      <x:c r="AI295" s="60"/>
    </x:row>
    <x:row r="296" ht="45" customHeight="1">
      <x:c r="A296" s="15"/>
      <x:c r="B296" s="15"/>
      <x:c r="C296" s="15"/>
      <x:c r="D296" s="12"/>
      <x:c r="E296" s="12"/>
      <x:c r="F296" s="12"/>
      <x:c r="G296" s="12"/>
      <x:c r="H296" s="12"/>
      <x:c r="I296" s="15"/>
      <x:c r="J296" s="12"/>
      <x:c r="K296" s="12"/>
      <x:c r="L296" s="12"/>
      <x:c r="M296" s="12"/>
      <x:c r="N296" s="12"/>
      <x:c r="O296" s="13"/>
      <x:c r="P296" s="13"/>
      <x:c r="Q296" s="13"/>
      <x:c r="R296" s="13"/>
      <x:c r="S296" s="13"/>
      <x:c r="T296" s="13"/>
      <x:c r="U296" s="14"/>
      <x:c r="V296" s="14"/>
      <x:c r="W296" s="16"/>
      <x:c r="X296" s="16"/>
      <x:c r="Y296" s="14"/>
      <x:c r="Z296" s="66" t="str">
        <x:f t="shared" si="16">IF(A296="","",IF(MAX(LEN(E296),LEN(F296),LEN(G296),LEN(H296))&gt;2*MIN(LEN(E296),LEN(F296),LEN(G296),LEN(H296)),"Review answer lengths",""))</x:f>
      </x:c>
      <x:c r="AA296" s="66" t="str">
        <x:f t="shared" si="17">IF(A296="","",IF(COUNTIF($A$2:$A$301,A296)&gt;1,"Duplicate ID",IF(COUNTIF($D$2:$D$301,D296)&gt;1,"Review repeated text","")))</x:f>
      </x:c>
      <x:c r="AB296" s="66" t="str">
        <x:f t="shared" si="18">IF(A296="","","Unique string or number; no numeric range required")</x:f>
      </x:c>
      <x:c r="AC296" s="66" t="str">
        <x:f>IF(A296="","",IF(OR(B296="",D296="",E296="",F296="",G296="",H296="",J296="",K296="",L296="",M296="",O296="",P296="",AND(I296="",AG296=""),AND(B296&lt;&gt;"repair",B296&lt;&gt;"bridge",C296="")),"INCOMPLETE","CHECK ONLINE"))</x:f>
      </x:c>
      <x:c r="AD296" s="67" t="str">
        <x:f>IF(A296="","",IF(AC296="INCOMPLETE","Fill required fields including RepairSkill and an answer. See Instructions.","Copy all columns with headers to the browser validator for full schema, assets and mode checks."))</x:f>
      </x:c>
      <x:c r="AE296" s="67" t="str">
        <x:f t="shared" si="19">IF(A296="","","https://masteryquests.org/tools/question-bank-validator/")</x:f>
      </x:c>
      <x:c r="AF296" s="60"/>
      <x:c r="AH296" s="60"/>
      <x:c r="AI296" s="60"/>
    </x:row>
    <x:row r="297" ht="45" customHeight="1">
      <x:c r="A297" s="15"/>
      <x:c r="B297" s="15"/>
      <x:c r="C297" s="15"/>
      <x:c r="D297" s="12"/>
      <x:c r="E297" s="12"/>
      <x:c r="F297" s="12"/>
      <x:c r="G297" s="12"/>
      <x:c r="H297" s="12"/>
      <x:c r="I297" s="15"/>
      <x:c r="J297" s="12"/>
      <x:c r="K297" s="12"/>
      <x:c r="L297" s="12"/>
      <x:c r="M297" s="12"/>
      <x:c r="N297" s="12"/>
      <x:c r="O297" s="13"/>
      <x:c r="P297" s="13"/>
      <x:c r="Q297" s="13"/>
      <x:c r="R297" s="13"/>
      <x:c r="S297" s="13"/>
      <x:c r="T297" s="13"/>
      <x:c r="U297" s="14"/>
      <x:c r="V297" s="14"/>
      <x:c r="W297" s="16"/>
      <x:c r="X297" s="16"/>
      <x:c r="Y297" s="14"/>
      <x:c r="Z297" s="66" t="str">
        <x:f t="shared" si="16">IF(A297="","",IF(MAX(LEN(E297),LEN(F297),LEN(G297),LEN(H297))&gt;2*MIN(LEN(E297),LEN(F297),LEN(G297),LEN(H297)),"Review answer lengths",""))</x:f>
      </x:c>
      <x:c r="AA297" s="66" t="str">
        <x:f t="shared" si="17">IF(A297="","",IF(COUNTIF($A$2:$A$301,A297)&gt;1,"Duplicate ID",IF(COUNTIF($D$2:$D$301,D297)&gt;1,"Review repeated text","")))</x:f>
      </x:c>
      <x:c r="AB297" s="66" t="str">
        <x:f t="shared" si="18">IF(A297="","","Unique string or number; no numeric range required")</x:f>
      </x:c>
      <x:c r="AC297" s="66" t="str">
        <x:f>IF(A297="","",IF(OR(B297="",D297="",E297="",F297="",G297="",H297="",J297="",K297="",L297="",M297="",O297="",P297="",AND(I297="",AG297=""),AND(B297&lt;&gt;"repair",B297&lt;&gt;"bridge",C297="")),"INCOMPLETE","CHECK ONLINE"))</x:f>
      </x:c>
      <x:c r="AD297" s="67" t="str">
        <x:f>IF(A297="","",IF(AC297="INCOMPLETE","Fill required fields including RepairSkill and an answer. See Instructions.","Copy all columns with headers to the browser validator for full schema, assets and mode checks."))</x:f>
      </x:c>
      <x:c r="AE297" s="67" t="str">
        <x:f t="shared" si="19">IF(A297="","","https://masteryquests.org/tools/question-bank-validator/")</x:f>
      </x:c>
      <x:c r="AF297" s="60"/>
      <x:c r="AH297" s="60"/>
      <x:c r="AI297" s="60"/>
    </x:row>
    <x:row r="298" ht="45" customHeight="1">
      <x:c r="A298" s="15"/>
      <x:c r="B298" s="15"/>
      <x:c r="C298" s="15"/>
      <x:c r="D298" s="12"/>
      <x:c r="E298" s="12"/>
      <x:c r="F298" s="12"/>
      <x:c r="G298" s="12"/>
      <x:c r="H298" s="12"/>
      <x:c r="I298" s="15"/>
      <x:c r="J298" s="12"/>
      <x:c r="K298" s="12"/>
      <x:c r="L298" s="12"/>
      <x:c r="M298" s="12"/>
      <x:c r="N298" s="12"/>
      <x:c r="O298" s="13"/>
      <x:c r="P298" s="13"/>
      <x:c r="Q298" s="13"/>
      <x:c r="R298" s="13"/>
      <x:c r="S298" s="13"/>
      <x:c r="T298" s="13"/>
      <x:c r="U298" s="14"/>
      <x:c r="V298" s="14"/>
      <x:c r="W298" s="16"/>
      <x:c r="X298" s="16"/>
      <x:c r="Y298" s="14"/>
      <x:c r="Z298" s="66" t="str">
        <x:f t="shared" si="16">IF(A298="","",IF(MAX(LEN(E298),LEN(F298),LEN(G298),LEN(H298))&gt;2*MIN(LEN(E298),LEN(F298),LEN(G298),LEN(H298)),"Review answer lengths",""))</x:f>
      </x:c>
      <x:c r="AA298" s="66" t="str">
        <x:f t="shared" si="17">IF(A298="","",IF(COUNTIF($A$2:$A$301,A298)&gt;1,"Duplicate ID",IF(COUNTIF($D$2:$D$301,D298)&gt;1,"Review repeated text","")))</x:f>
      </x:c>
      <x:c r="AB298" s="66" t="str">
        <x:f t="shared" si="18">IF(A298="","","Unique string or number; no numeric range required")</x:f>
      </x:c>
      <x:c r="AC298" s="66" t="str">
        <x:f>IF(A298="","",IF(OR(B298="",D298="",E298="",F298="",G298="",H298="",J298="",K298="",L298="",M298="",O298="",P298="",AND(I298="",AG298=""),AND(B298&lt;&gt;"repair",B298&lt;&gt;"bridge",C298="")),"INCOMPLETE","CHECK ONLINE"))</x:f>
      </x:c>
      <x:c r="AD298" s="67" t="str">
        <x:f>IF(A298="","",IF(AC298="INCOMPLETE","Fill required fields including RepairSkill and an answer. See Instructions.","Copy all columns with headers to the browser validator for full schema, assets and mode checks."))</x:f>
      </x:c>
      <x:c r="AE298" s="67" t="str">
        <x:f t="shared" si="19">IF(A298="","","https://masteryquests.org/tools/question-bank-validator/")</x:f>
      </x:c>
      <x:c r="AF298" s="60"/>
      <x:c r="AH298" s="60"/>
      <x:c r="AI298" s="60"/>
    </x:row>
    <x:row r="299" ht="45" customHeight="1">
      <x:c r="A299" s="15"/>
      <x:c r="B299" s="15"/>
      <x:c r="C299" s="15"/>
      <x:c r="D299" s="12"/>
      <x:c r="E299" s="12"/>
      <x:c r="F299" s="12"/>
      <x:c r="G299" s="12"/>
      <x:c r="H299" s="12"/>
      <x:c r="I299" s="15"/>
      <x:c r="J299" s="12"/>
      <x:c r="K299" s="12"/>
      <x:c r="L299" s="12"/>
      <x:c r="M299" s="12"/>
      <x:c r="N299" s="12"/>
      <x:c r="O299" s="13"/>
      <x:c r="P299" s="13"/>
      <x:c r="Q299" s="13"/>
      <x:c r="R299" s="13"/>
      <x:c r="S299" s="13"/>
      <x:c r="T299" s="13"/>
      <x:c r="U299" s="14"/>
      <x:c r="V299" s="14"/>
      <x:c r="W299" s="16"/>
      <x:c r="X299" s="16"/>
      <x:c r="Y299" s="14"/>
      <x:c r="Z299" s="66" t="str">
        <x:f t="shared" si="16">IF(A299="","",IF(MAX(LEN(E299),LEN(F299),LEN(G299),LEN(H299))&gt;2*MIN(LEN(E299),LEN(F299),LEN(G299),LEN(H299)),"Review answer lengths",""))</x:f>
      </x:c>
      <x:c r="AA299" s="66" t="str">
        <x:f t="shared" si="17">IF(A299="","",IF(COUNTIF($A$2:$A$301,A299)&gt;1,"Duplicate ID",IF(COUNTIF($D$2:$D$301,D299)&gt;1,"Review repeated text","")))</x:f>
      </x:c>
      <x:c r="AB299" s="66" t="str">
        <x:f t="shared" si="18">IF(A299="","","Unique string or number; no numeric range required")</x:f>
      </x:c>
      <x:c r="AC299" s="66" t="str">
        <x:f>IF(A299="","",IF(OR(B299="",D299="",E299="",F299="",G299="",H299="",J299="",K299="",L299="",M299="",O299="",P299="",AND(I299="",AG299=""),AND(B299&lt;&gt;"repair",B299&lt;&gt;"bridge",C299="")),"INCOMPLETE","CHECK ONLINE"))</x:f>
      </x:c>
      <x:c r="AD299" s="67" t="str">
        <x:f>IF(A299="","",IF(AC299="INCOMPLETE","Fill required fields including RepairSkill and an answer. See Instructions.","Copy all columns with headers to the browser validator for full schema, assets and mode checks."))</x:f>
      </x:c>
      <x:c r="AE299" s="67" t="str">
        <x:f t="shared" si="19">IF(A299="","","https://masteryquests.org/tools/question-bank-validator/")</x:f>
      </x:c>
      <x:c r="AF299" s="60"/>
      <x:c r="AH299" s="60"/>
      <x:c r="AI299" s="60"/>
    </x:row>
    <x:row r="300" ht="45" customHeight="1">
      <x:c r="A300" s="15"/>
      <x:c r="B300" s="15"/>
      <x:c r="C300" s="15"/>
      <x:c r="D300" s="12"/>
      <x:c r="E300" s="12"/>
      <x:c r="F300" s="12"/>
      <x:c r="G300" s="12"/>
      <x:c r="H300" s="12"/>
      <x:c r="I300" s="15"/>
      <x:c r="J300" s="12"/>
      <x:c r="K300" s="12"/>
      <x:c r="L300" s="12"/>
      <x:c r="M300" s="12"/>
      <x:c r="N300" s="12"/>
      <x:c r="O300" s="13"/>
      <x:c r="P300" s="13"/>
      <x:c r="Q300" s="13"/>
      <x:c r="R300" s="13"/>
      <x:c r="S300" s="13"/>
      <x:c r="T300" s="13"/>
      <x:c r="U300" s="14"/>
      <x:c r="V300" s="14"/>
      <x:c r="W300" s="16"/>
      <x:c r="X300" s="16"/>
      <x:c r="Y300" s="14"/>
      <x:c r="Z300" s="66" t="str">
        <x:f t="shared" si="16">IF(A300="","",IF(MAX(LEN(E300),LEN(F300),LEN(G300),LEN(H300))&gt;2*MIN(LEN(E300),LEN(F300),LEN(G300),LEN(H300)),"Review answer lengths",""))</x:f>
      </x:c>
      <x:c r="AA300" s="66" t="str">
        <x:f t="shared" si="17">IF(A300="","",IF(COUNTIF($A$2:$A$301,A300)&gt;1,"Duplicate ID",IF(COUNTIF($D$2:$D$301,D300)&gt;1,"Review repeated text","")))</x:f>
      </x:c>
      <x:c r="AB300" s="66" t="str">
        <x:f t="shared" si="18">IF(A300="","","Unique string or number; no numeric range required")</x:f>
      </x:c>
      <x:c r="AC300" s="66" t="str">
        <x:f>IF(A300="","",IF(OR(B300="",D300="",E300="",F300="",G300="",H300="",J300="",K300="",L300="",M300="",O300="",P300="",AND(I300="",AG300=""),AND(B300&lt;&gt;"repair",B300&lt;&gt;"bridge",C300="")),"INCOMPLETE","CHECK ONLINE"))</x:f>
      </x:c>
      <x:c r="AD300" s="67" t="str">
        <x:f>IF(A300="","",IF(AC300="INCOMPLETE","Fill required fields including RepairSkill and an answer. See Instructions.","Copy all columns with headers to the browser validator for full schema, assets and mode checks."))</x:f>
      </x:c>
      <x:c r="AE300" s="67" t="str">
        <x:f t="shared" si="19">IF(A300="","","https://masteryquests.org/tools/question-bank-validator/")</x:f>
      </x:c>
      <x:c r="AF300" s="60"/>
      <x:c r="AH300" s="60"/>
      <x:c r="AI300" s="60"/>
    </x:row>
    <x:row r="301" ht="45" customHeight="1">
      <x:c r="A301" s="15"/>
      <x:c r="B301" s="15"/>
      <x:c r="C301" s="15"/>
      <x:c r="D301" s="12"/>
      <x:c r="E301" s="12"/>
      <x:c r="F301" s="12"/>
      <x:c r="G301" s="12"/>
      <x:c r="H301" s="12"/>
      <x:c r="I301" s="15"/>
      <x:c r="J301" s="12"/>
      <x:c r="K301" s="12"/>
      <x:c r="L301" s="12"/>
      <x:c r="M301" s="12"/>
      <x:c r="N301" s="12"/>
      <x:c r="O301" s="13"/>
      <x:c r="P301" s="13"/>
      <x:c r="Q301" s="13"/>
      <x:c r="R301" s="13"/>
      <x:c r="S301" s="13"/>
      <x:c r="T301" s="13"/>
      <x:c r="U301" s="14"/>
      <x:c r="V301" s="14"/>
      <x:c r="W301" s="16"/>
      <x:c r="X301" s="16"/>
      <x:c r="Y301" s="14"/>
      <x:c r="Z301" s="66" t="str">
        <x:f t="shared" si="16">IF(A301="","",IF(MAX(LEN(E301),LEN(F301),LEN(G301),LEN(H301))&gt;2*MIN(LEN(E301),LEN(F301),LEN(G301),LEN(H301)),"Review answer lengths",""))</x:f>
      </x:c>
      <x:c r="AA301" s="66" t="str">
        <x:f t="shared" si="17">IF(A301="","",IF(COUNTIF($A$2:$A$301,A301)&gt;1,"Duplicate ID",IF(COUNTIF($D$2:$D$301,D301)&gt;1,"Review repeated text","")))</x:f>
      </x:c>
      <x:c r="AB301" s="66" t="str">
        <x:f t="shared" si="18">IF(A301="","","Unique string or number; no numeric range required")</x:f>
      </x:c>
      <x:c r="AC301" s="66" t="str">
        <x:f>IF(A301="","",IF(OR(B301="",D301="",E301="",F301="",G301="",H301="",J301="",K301="",L301="",M301="",O301="",P301="",AND(I301="",AG301=""),AND(B301&lt;&gt;"repair",B301&lt;&gt;"bridge",C301="")),"INCOMPLETE","CHECK ONLINE"))</x:f>
      </x:c>
      <x:c r="AD301" s="67" t="str">
        <x:f>IF(A301="","",IF(AC301="INCOMPLETE","Fill required fields including RepairSkill and an answer. See Instructions.","Copy all columns with headers to the browser validator for full schema, assets and mode checks."))</x:f>
      </x:c>
      <x:c r="AE301" s="67" t="str">
        <x:f t="shared" si="19">IF(A301="","","https://masteryquests.org/tools/question-bank-validator/")</x:f>
      </x:c>
      <x:c r="AF301" s="60"/>
      <x:c r="AH301" s="60"/>
      <x:c r="AI301" s="60"/>
    </x:row>
  </x:sheetData>
  <x:conditionalFormatting sqref="X2:X301">
    <x:cfRule type="expression" dxfId="8" priority="7">
      <x:formula>X2&lt;&gt;"Yes"</x:formula>
    </x:cfRule>
  </x:conditionalFormatting>
  <x:conditionalFormatting sqref="Z2:AB301">
    <x:cfRule type="expression" dxfId="7" priority="4">
      <x:formula>Z2&lt;&gt;"OK"</x:formula>
    </x:cfRule>
  </x:conditionalFormatting>
  <x:conditionalFormatting sqref="AA2:AA301">
    <x:cfRule type="expression" dxfId="6" priority="5">
      <x:formula>AA2&lt;&gt;"OK"</x:formula>
    </x:cfRule>
  </x:conditionalFormatting>
  <x:conditionalFormatting sqref="AB2:AB301">
    <x:cfRule type="expression" dxfId="5" priority="6">
      <x:formula>AB2&lt;&gt;"OK"</x:formula>
    </x:cfRule>
  </x:conditionalFormatting>
  <x:conditionalFormatting sqref="AC2:AC301">
    <x:cfRule type="expression" dxfId="4" priority="1">
      <x:formula>AC2="Ready"</x:formula>
    </x:cfRule>
    <x:cfRule type="expression" dxfId="3" priority="2">
      <x:formula>AC2="Warning"</x:formula>
    </x:cfRule>
    <x:cfRule type="expression" dxfId="2" priority="3">
      <x:formula>AC2="Needs Fix"</x:formula>
    </x:cfRule>
  </x:conditionalFormatting>
  <x:dataValidations count="4">
    <x:dataValidation type="list" sqref="AF2:AF301">
      <x:formula1>"TRUE,FALSE"</x:formula1>
    </x:dataValidation>
    <x:dataValidation type="list" sqref="B2:B301">
      <x:formula1>"easy,medium,hard,elite,legendary,easyBoss,mediumBoss,finalBoss,legendaryBoss,repair,bridge"</x:formula1>
    </x:dataValidation>
    <x:dataValidation type="list" sqref="C2:C301">
      <x:formula1>"easy,medium,hard,elite,legendary"</x:formula1>
    </x:dataValidation>
    <x:dataValidation type="list" sqref="I2:I301">
      <x:formula1>"A,B,C,D"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be7eccd76154319"/>
  </x:tableParts>
</x:worksheet>
</file>

<file path=xl/worksheets/sheet2.xml><?xml version="1.0" encoding="utf-8"?>
<x:worksheet xmlns:x="http://schemas.openxmlformats.org/spreadsheetml/2006/main">
  <x:sheetFormatPr defaultRowHeight="14.25"/>
  <x:cols>
    <x:col min="1" max="1" width="28" hidden="0" customWidth="1"/>
    <x:col min="2" max="2" width="28" hidden="0" customWidth="1"/>
    <x:col min="3" max="3" width="60" hidden="0" customWidth="1"/>
    <x:col min="4" max="4" width="18" customWidth="1"/>
    <x:col min="5" max="5" width="12" customWidth="1"/>
    <x:col min="6" max="6" width="16" customWidth="1"/>
    <x:col min="7" max="7" width="18" customWidth="1"/>
    <x:col min="8" max="8" width="28" customWidth="1"/>
  </x:cols>
  <x:sheetData>
    <x:row r="1" ht="30" customHeight="1">
      <x:c r="A1" t="str">
        <x:v>Pools</x:v>
      </x:c>
      <x:c r="B1" t="str">
        <x:v>Difficulty</x:v>
      </x:c>
      <x:c r="C1" t="str">
        <x:v>Type guidance</x:v>
      </x:c>
      <x:c r="D1"/>
      <x:c r="E1"/>
      <x:c r="F1"/>
      <x:c r="G1"/>
      <x:c r="H1"/>
    </x:row>
    <x:row r="2" ht="21.950000762939453" customHeight="1">
      <x:c r="A2" t="str">
        <x:v>easy</x:v>
      </x:c>
      <x:c r="B2" t="str">
        <x:v>easy</x:v>
      </x:c>
      <x:c r="C2" t="str">
        <x:v>Any nonempty text label; no closed enumeration.</x:v>
      </x:c>
      <x:c r="D2"/>
      <x:c r="E2"/>
      <x:c r="F2"/>
      <x:c r="G2"/>
      <x:c r="H2"/>
    </x:row>
    <x:row r="3" ht="21.950000762939453" customHeight="1">
      <x:c r="A3" t="str">
        <x:v>medium</x:v>
      </x:c>
      <x:c r="B3" t="str">
        <x:v>medium</x:v>
      </x:c>
      <x:c r="C3" t="str"/>
      <x:c r="D3"/>
      <x:c r="E3"/>
      <x:c r="F3"/>
      <x:c r="G3"/>
      <x:c r="H3"/>
    </x:row>
    <x:row r="4" ht="21.950000762939453" customHeight="1">
      <x:c r="A4" t="str">
        <x:v>hard</x:v>
      </x:c>
      <x:c r="B4" t="str">
        <x:v>hard</x:v>
      </x:c>
      <x:c r="C4" t="str"/>
      <x:c r="D4"/>
      <x:c r="E4"/>
      <x:c r="F4"/>
      <x:c r="G4"/>
      <x:c r="H4"/>
    </x:row>
    <x:row r="5" ht="21.950000762939453" customHeight="1">
      <x:c r="A5" t="str">
        <x:v>elite</x:v>
      </x:c>
      <x:c r="B5" t="str">
        <x:v>elite</x:v>
      </x:c>
      <x:c r="C5" t="str"/>
      <x:c r="D5"/>
      <x:c r="E5"/>
      <x:c r="F5"/>
      <x:c r="G5"/>
      <x:c r="H5"/>
    </x:row>
    <x:row r="6" ht="21.950000762939453" customHeight="1">
      <x:c r="A6" t="str">
        <x:v>legendary</x:v>
      </x:c>
      <x:c r="B6" t="str">
        <x:v>legendary</x:v>
      </x:c>
      <x:c r="C6" t="str"/>
      <x:c r="D6"/>
      <x:c r="E6"/>
      <x:c r="F6"/>
      <x:c r="G6"/>
      <x:c r="H6"/>
    </x:row>
    <x:row r="7" ht="21.950000762939453" customHeight="1">
      <x:c r="A7" t="str">
        <x:v>easyBoss</x:v>
      </x:c>
      <x:c r="B7" t="str"/>
      <x:c r="C7" t="str"/>
      <x:c r="D7"/>
      <x:c r="E7"/>
      <x:c r="F7"/>
      <x:c r="G7"/>
      <x:c r="H7"/>
    </x:row>
    <x:row r="8" ht="21.950000762939453" customHeight="1">
      <x:c r="A8" t="str">
        <x:v>mediumBoss</x:v>
      </x:c>
      <x:c r="B8" t="str"/>
      <x:c r="C8" t="str"/>
      <x:c r="D8"/>
      <x:c r="E8"/>
      <x:c r="F8"/>
      <x:c r="G8"/>
      <x:c r="H8"/>
    </x:row>
    <x:row r="9" ht="21.950000762939453" customHeight="1">
      <x:c r="A9" t="str">
        <x:v>finalBoss</x:v>
      </x:c>
      <x:c r="B9" t="str"/>
      <x:c r="C9" t="str"/>
      <x:c r="D9"/>
      <x:c r="E9"/>
      <x:c r="F9"/>
      <x:c r="G9"/>
      <x:c r="H9"/>
    </x:row>
    <x:row r="10" ht="21.950000762939453" customHeight="1">
      <x:c r="A10" t="str">
        <x:v>legendaryBoss</x:v>
      </x:c>
      <x:c r="B10" t="str"/>
      <x:c r="C10" t="str"/>
      <x:c r="D10"/>
      <x:c r="E10"/>
      <x:c r="F10"/>
      <x:c r="G10"/>
      <x:c r="H10"/>
    </x:row>
    <x:row r="11" ht="21.950000762939453" customHeight="1">
      <x:c r="A11" t="str">
        <x:v>repair</x:v>
      </x:c>
      <x:c r="B11" t="str"/>
      <x:c r="C11" t="str"/>
      <x:c r="D11"/>
      <x:c r="E11"/>
      <x:c r="F11"/>
      <x:c r="G11"/>
      <x:c r="H11"/>
    </x:row>
    <x:row r="12" ht="21.950000762939453" customHeight="1">
      <x:c r="A12" t="str">
        <x:v>bridge</x:v>
      </x:c>
      <x:c r="B12" t="str"/>
      <x:c r="C12" t="str"/>
      <x:c r="D12"/>
      <x:c r="E12"/>
      <x:c r="F12"/>
      <x:c r="G12"/>
      <x:c r="H1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28" hidden="0" customWidth="1"/>
    <x:col min="2" max="2" width="28" hidden="0" customWidth="1"/>
    <x:col min="3" max="4" width="38" customWidth="1"/>
    <x:col min="6" max="6" width="18" customWidth="1"/>
    <x:col min="7" max="7" width="12" customWidth="1"/>
    <x:col min="3" max="3" width="28" hidden="0" customWidth="1"/>
    <x:col min="4" max="4" width="28" hidden="0" customWidth="1"/>
  </x:cols>
  <x:sheetData>
    <x:row r="1" ht="28" customHeight="1">
      <x:c r="A1" s="60" t="str">
        <x:v>Question package drafting status</x:v>
      </x:c>
      <x:c r="B1" s="60"/>
      <x:c r="C1" s="60"/>
      <x:c r="D1" s="60"/>
    </x:row>
    <x:row r="2" ht="28" customHeight="1">
      <x:c r="A2" s="60"/>
      <x:c r="B2" s="60"/>
      <x:c r="C2" s="60"/>
      <x:c r="D2" s="60"/>
      <x:c r="F2"/>
      <x:c r="G2"/>
    </x:row>
    <x:row r="3" ht="28" customHeight="1">
      <x:c r="A3" s="60" t="str">
        <x:v>Rows started</x:v>
      </x:c>
      <x:c r="B3" s="60" t="n">
        <x:f>COUNTA(Question_Bank!A2:A301)</x:f>
        <x:v>5</x:v>
      </x:c>
      <x:c r="C3" s="60"/>
      <x:c r="D3" s="60"/>
      <x:c r="F3"/>
      <x:c r="G3"/>
    </x:row>
    <x:row r="4" ht="28" customHeight="1">
      <x:c r="A4" s="60" t="str">
        <x:v>Missing basic fields</x:v>
      </x:c>
      <x:c r="B4" s="60" t="n">
        <x:f>COUNTIF(Question_Bank!AC2:AC301,"INCOMPLETE")</x:f>
        <x:v>0</x:v>
      </x:c>
      <x:c r="C4" s="60"/>
      <x:c r="D4" s="60"/>
      <x:c r="F4"/>
      <x:c r="G4"/>
    </x:row>
    <x:row r="5" ht="28" customHeight="1">
      <x:c r="A5" s="60" t="str">
        <x:v>Ready for full validation</x:v>
      </x:c>
      <x:c r="B5" s="60" t="n">
        <x:f>COUNTIF(Question_Bank!AC2:AC301,"CHECK ONLINE")</x:f>
        <x:v>5</x:v>
      </x:c>
      <x:c r="C5" s="60"/>
      <x:c r="D5" s="60"/>
      <x:c r="F5"/>
      <x:c r="G5"/>
    </x:row>
    <x:row r="6" ht="28" customHeight="1">
      <x:c r="A6" s="60" t="str">
        <x:v>Final schema and mode checks</x:v>
      </x:c>
      <x:c r="B6" s="60" t="str">
        <x:v>Use browser validator after every edit</x:v>
      </x:c>
      <x:c r="C6" s="60"/>
      <x:c r="D6" s="60"/>
    </x:row>
    <x:row r="7" ht="28" customHeight="1">
      <x:c r="A7" s="60"/>
      <x:c r="B7" s="60"/>
      <x:c r="C7" s="60"/>
      <x:c r="D7" s="60"/>
    </x:row>
    <x:row r="8" ht="28" customHeight="1">
      <x:c r="A8" s="60" t="str">
        <x:v>This workbook is an optional drafting aid. It does not certify runtime acceptance. Copy Question_Bank including headers and all columns into https://masteryquests.org/tools/question-bank-validator/ and choose copied workbook rows.</x:v>
      </x:c>
      <x:c r="B8" s="60"/>
      <x:c r="C8" s="60"/>
      <x:c r="D8" s="60"/>
    </x:row>
    <x:row r="9" ht="28" customHeight="1">
      <x:c r="A9" s="60"/>
      <x:c r="B9" s="60"/>
      <x:c r="C9" s="60"/>
      <x:c r="D9" s="60"/>
    </x:row>
    <x:row r="10" ht="28" customHeight="1">
      <x:c r="A10" s="60"/>
      <x:c r="B10" s="60"/>
      <x:c r="C10" s="60"/>
      <x:c r="D10" s="60"/>
    </x:row>
    <x:row r="11" ht="30" customHeight="1">
      <x:c r="A11"/>
      <x:c r="B11"/>
      <x:c r="C11"/>
      <x:c r="D11"/>
    </x:row>
    <x:row r="12" ht="30" customHeight="1">
      <x:c r="A12"/>
      <x:c r="B12"/>
      <x:c r="C12"/>
      <x:c r="D12"/>
    </x:row>
    <x:row r="13" ht="30" customHeight="1">
      <x:c r="A13"/>
      <x:c r="B13"/>
      <x:c r="C13"/>
      <x:c r="D13"/>
    </x:row>
    <x:row r="14" ht="30" customHeight="1">
      <x:c r="A14"/>
      <x:c r="B14"/>
      <x:c r="C14"/>
      <x:c r="D14"/>
    </x:row>
    <x:row r="16" ht="18">
      <x:c r="A16"/>
      <x:c r="B16"/>
      <x:c r="C16"/>
      <x:c r="D16"/>
    </x:row>
    <x:row r="17" ht="15">
      <x:c r="A17"/>
      <x:c r="B17"/>
      <x:c r="C17"/>
      <x:c r="D17"/>
    </x:row>
    <x:row r="18">
      <x:c r="A18"/>
      <x:c r="B18"/>
      <x:c r="C18"/>
      <x:c r="D18"/>
    </x:row>
    <x:row r="19">
      <x:c r="A19"/>
      <x:c r="B19"/>
      <x:c r="C19"/>
      <x:c r="D19"/>
    </x:row>
    <x:row r="20">
      <x:c r="A20"/>
      <x:c r="B20"/>
      <x:c r="C20"/>
      <x:c r="D20"/>
    </x:row>
    <x:row r="21">
      <x:c r="A21"/>
      <x:c r="B21"/>
      <x:c r="C21"/>
      <x:c r="D21"/>
    </x:row>
    <x:row r="22">
      <x:c r="A22"/>
      <x:c r="B22"/>
      <x:c r="C22"/>
      <x:c r="D22"/>
    </x:row>
    <x:row r="23">
      <x:c r="A23"/>
      <x:c r="B23"/>
      <x:c r="C23"/>
      <x:c r="D23"/>
      <x:c r="F23"/>
      <x:c r="G23"/>
      <x:c r="H23"/>
      <x:c r="I23"/>
      <x:c r="J23"/>
      <x:c r="K23"/>
      <x:c r="L23"/>
    </x:row>
    <x:row r="24">
      <x:c r="A24"/>
      <x:c r="B24"/>
      <x:c r="C24"/>
      <x:c r="D24"/>
      <x:c r="F24"/>
      <x:c r="G24"/>
      <x:c r="H24"/>
      <x:c r="I24"/>
      <x:c r="J24"/>
      <x:c r="K24"/>
      <x:c r="L24"/>
    </x:row>
    <x:row r="25">
      <x:c r="A25"/>
      <x:c r="B25"/>
      <x:c r="C25"/>
      <x:c r="D25"/>
      <x:c r="F25"/>
      <x:c r="G25"/>
      <x:c r="H25"/>
      <x:c r="I25"/>
      <x:c r="J25"/>
      <x:c r="K25"/>
      <x:c r="L25"/>
    </x:row>
    <x:row r="26">
      <x:c r="A26"/>
      <x:c r="B26"/>
      <x:c r="C26"/>
      <x:c r="D26"/>
      <x:c r="F26"/>
      <x:c r="G26"/>
      <x:c r="H26"/>
      <x:c r="I26"/>
      <x:c r="J26"/>
      <x:c r="K26"/>
      <x:c r="L26"/>
    </x:row>
    <x:row r="27">
      <x:c r="A27"/>
      <x:c r="B27"/>
      <x:c r="C27"/>
      <x:c r="D27"/>
      <x:c r="F27"/>
      <x:c r="G27"/>
      <x:c r="H27"/>
      <x:c r="I27"/>
      <x:c r="J27"/>
      <x:c r="K27"/>
      <x:c r="L27"/>
    </x:row>
    <x:row r="28">
      <x:c r="A28"/>
      <x:c r="B28"/>
      <x:c r="C28"/>
      <x:c r="D28"/>
      <x:c r="F28"/>
      <x:c r="G28"/>
      <x:c r="H28"/>
      <x:c r="I28"/>
      <x:c r="J28"/>
      <x:c r="K28"/>
      <x:c r="L28"/>
    </x:row>
  </x:sheetData>
  <x:mergeCells>
    <x:mergeCell ref="A1:D1"/>
    <x:mergeCell ref="A8:D10"/>
  </x:mergeCells>
  <x:conditionalFormatting sqref="B3:B14">
    <x:cfRule type="dataBar" priority="1">
      <x:dataBar>
        <x:cfvo type="min"/>
        <x:cfvo type="max"/>
        <x:color rgb="FF910039"/>
      </x:dataBar>
    </x:cfRule>
    <x:cfRule type="dataBar" priority="4">
      <x:dataBar>
        <x:cfvo type="min"/>
        <x:cfvo type="max"/>
        <x:color rgb="FF910039"/>
      </x:dataBar>
      <x:extLst>
        <x:ext xmlns:x14="http://schemas.microsoft.com/office/spreadsheetml/2009/9/main" uri="{B025F937-C7B1-47D3-B67F-A62EFF666E3E}">
          <x14:id>{AF3BABEA-013E-CDB1-63EA-048C44DBB4B4}</x14:id>
        </x:ext>
      </x:extLst>
    </x:cfRule>
  </x:conditionalFormatting>
  <x:conditionalFormatting sqref="B5:B14">
    <x:cfRule type="cellIs" dxfId="1" priority="2" operator="greaterThan">
      <x:formula>0</x:formula>
    </x:cfRule>
  </x:conditionalFormatting>
  <x:conditionalFormatting sqref="B6:B6">
    <x:cfRule type="cellIs" dxfId="0" priority="3" operator="greaterThan">
      <x:formula>0</x:formula>
    </x:cfRule>
  </x:conditionalFormatting>
  <x:pageMargins left="0.7" right="0.7" top="0.75" bottom="0.75" header="0.3" footer="0.3"/>
  <x:drawing xmlns:r="http://schemas.openxmlformats.org/officeDocument/2006/relationships" r:id="Re42005c2a20c48ea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AF3BABEA-013E-CDB1-63EA-048C44DBB4B4}">
            <x14:dataBar>
              <x14:cfvo type="min"/>
              <x14:cfvo type="max"/>
              <x14:fillColor rgb="FF910039"/>
              <x14:negativeFillColor auto="1"/>
              <x14:axisColor auto="1"/>
            </x14:dataBar>
          </x14:cfRule>
          <xm:sqref>B3:B14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4.25"/>
  <x:cols>
    <x:col min="1" max="2" width="24" customWidth="1"/>
    <x:col min="3" max="3" width="34" customWidth="1"/>
    <x:col min="4" max="4" width="12" customWidth="1"/>
    <x:col min="5" max="5" width="30" customWidth="1"/>
    <x:col min="6" max="6" width="18" customWidth="1"/>
    <x:col min="7" max="8" width="34" customWidth="1"/>
    <x:col min="1" max="1" width="60" hidden="0" customWidth="1"/>
    <x:col min="2" max="2" width="60" hidden="0" customWidth="1"/>
  </x:cols>
  <x:sheetData>
    <x:row r="1" ht="55" customHeight="1">
      <x:c r="A1" s="60" t="str">
        <x:v>Export checked JSON</x:v>
      </x:c>
      <x:c r="B1" s="60" t="str">
        <x:v>Use the browser validator</x:v>
      </x:c>
      <x:c r="C1"/>
      <x:c r="D1"/>
      <x:c r="E1"/>
      <x:c r="F1"/>
      <x:c r="G1"/>
      <x:c r="H1"/>
    </x:row>
    <x:row r="2" ht="55" customHeight="1">
      <x:c r="A2" s="60" t="str">
        <x:v>Copy</x:v>
      </x:c>
      <x:c r="B2" s="60" t="str">
        <x:v>Question_Bank A1:AJ through the last filled row, including headers.</x:v>
      </x:c>
      <x:c r="C2"/>
      <x:c r="D2"/>
      <x:c r="E2"/>
      <x:c r="F2"/>
      <x:c r="G2"/>
      <x:c r="H2"/>
    </x:row>
    <x:row r="3" ht="55" customHeight="1">
      <x:c r="A3" s="60" t="str">
        <x:v>Validate</x:v>
      </x:c>
      <x:c r="B3" s="60" t="str">
        <x:v>Paste as copied workbook rows. Correct errors and review warnings.</x:v>
      </x:c>
      <x:c r="C3"/>
      <x:c r="D3"/>
      <x:c r="E3"/>
      <x:c r="F3"/>
      <x:c r="G3"/>
      <x:c r="H3"/>
    </x:row>
    <x:row r="4" ht="55" customHeight="1">
      <x:c r="A4" s="60" t="str">
        <x:v>Download</x:v>
      </x:c>
      <x:c r="B4" s="60" t="str">
        <x:v>Download checked JSON; paste into the marked manual package region.</x:v>
      </x:c>
      <x:c r="C4"/>
      <x:c r="D4"/>
      <x:c r="E4"/>
      <x:c r="F4"/>
      <x:c r="G4"/>
      <x:c r="H4"/>
    </x:row>
    <x:row r="5">
      <x:c r="A5"/>
      <x:c r="B5"/>
      <x:c r="C5"/>
      <x:c r="D5"/>
      <x:c r="E5"/>
      <x:c r="F5"/>
      <x:c r="G5"/>
      <x:c r="H5"/>
    </x:row>
    <x:row r="6">
      <x:c r="A6"/>
      <x:c r="B6"/>
      <x:c r="C6"/>
      <x:c r="D6"/>
      <x:c r="E6"/>
      <x:c r="F6"/>
      <x:c r="G6"/>
      <x:c r="H6"/>
    </x:row>
    <x:row r="7" ht="28.5">
      <x:c r="A7"/>
      <x:c r="B7"/>
      <x:c r="C7"/>
      <x:c r="D7"/>
      <x:c r="E7"/>
      <x:c r="F7"/>
      <x:c r="G7"/>
      <x:c r="H7"/>
    </x:row>
    <x:row r="8" ht="28.5">
      <x:c r="A8"/>
      <x:c r="B8"/>
      <x:c r="C8"/>
      <x:c r="D8"/>
      <x:c r="E8"/>
      <x:c r="F8"/>
      <x:c r="G8"/>
      <x:c r="H8"/>
    </x:row>
    <x:row r="9" ht="28.5">
      <x:c r="A9"/>
      <x:c r="B9"/>
      <x:c r="C9"/>
      <x:c r="D9"/>
      <x:c r="E9"/>
      <x:c r="F9"/>
      <x:c r="G9"/>
      <x:c r="H9"/>
    </x:row>
    <x:row r="11" ht="18">
      <x:c r="A11"/>
      <x:c r="B11"/>
      <x:c r="C11"/>
      <x:c r="D11"/>
      <x:c r="E11"/>
      <x:c r="F11"/>
      <x:c r="G11"/>
      <x:c r="H11"/>
    </x:row>
    <x:row r="12" ht="15">
      <x:c r="A12"/>
      <x:c r="B12"/>
      <x:c r="C12"/>
    </x:row>
    <x:row r="13" ht="42.75">
      <x:c r="A13"/>
      <x:c r="B13"/>
      <x:c r="C13"/>
    </x:row>
    <x:row r="14">
      <x:c r="A14"/>
      <x:c r="B14"/>
      <x:c r="C14"/>
    </x:row>
    <x:row r="15">
      <x:c r="A15"/>
      <x:c r="B15"/>
      <x:c r="C15"/>
    </x:row>
    <x:row r="16">
      <x:c r="A16"/>
      <x:c r="B16"/>
      <x:c r="C16"/>
    </x:row>
    <x:row r="17">
      <x:c r="A17"/>
      <x:c r="B17"/>
      <x:c r="C17"/>
    </x:row>
    <x:row r="18" ht="28.5">
      <x:c r="A18"/>
      <x:c r="B18"/>
      <x:c r="C18"/>
    </x:row>
    <x:row r="19" ht="28.5">
      <x:c r="A19"/>
      <x:c r="B19"/>
      <x:c r="C1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25"/>
  <x:cols>
    <x:col min="1" max="1" width="26" hidden="0" customWidth="1"/>
    <x:col min="2" max="4" width="42" customWidth="1"/>
    <x:col min="2" max="2" width="105" hidden="0" customWidth="1"/>
  </x:cols>
  <x:sheetData>
    <x:row r="1" ht="65" customHeight="1">
      <x:c r="A1" s="60" t="str">
        <x:v>Manual faculty question drafting</x:v>
      </x:c>
      <x:c r="B1" s="60" t="str">
        <x:v>Current engine schema; final acceptance uses the browser validator.</x:v>
      </x:c>
      <x:c r="C1"/>
      <x:c r="D1"/>
    </x:row>
    <x:row r="2" ht="65" customHeight="1">
      <x:c r="A2" s="60" t="str">
        <x:v>1 Start</x:v>
      </x:c>
      <x:c r="B2" s="60" t="str">
        <x:v>Read https://masteryquests.org/downloads/resources/manual-faculty-guide.html. Download the blank game and sample JSON.</x:v>
      </x:c>
      <x:c r="C2"/>
      <x:c r="D2"/>
    </x:row>
    <x:row r="3" ht="65" customHeight="1">
      <x:c r="A3" s="60" t="str">
        <x:v>2 Draft</x:v>
      </x:c>
      <x:c r="B3" s="60" t="str">
        <x:v>Replace the five demonstration rows. Keep all headers. QuestionID may be any unique string or number.</x:v>
      </x:c>
      <x:c r="C3"/>
      <x:c r="D3"/>
    </x:row>
    <x:row r="4" ht="65" customHeight="1">
      <x:c r="A4" s="60" t="str">
        <x:v>Required</x:v>
      </x:c>
      <x:c r="B4" s="60" t="str">
        <x:v>QuestionID, Pool, QuestionText, four options, CorrectAnswer A–D or AnswerHash, Feedback, Tag, Type, Objective, PrimarySkill, RepairSkill.</x:v>
      </x:c>
      <x:c r="C4"/>
      <x:c r="D4"/>
    </x:row>
    <x:row r="5" ht="65" customHeight="1">
      <x:c r="A5" s="60" t="str">
        <x:v>Difficulty</x:v>
      </x:c>
      <x:c r="B5" s="60" t="str">
        <x:v>Main/boss: easy, medium, hard, elite or legendary matching pool. easyBoss=easy; mediumBoss=medium; finalBoss=hard; legendaryBoss=legendary. Optional for repair/bridge.</x:v>
      </x:c>
      <x:c r="C5"/>
      <x:c r="D5"/>
    </x:row>
    <x:row r="6" ht="65" customHeight="1">
      <x:c r="A6" s="60" t="str">
        <x:v>Type and IDs</x:v>
      </x:c>
      <x:c r="B6" s="60" t="str">
        <x:v>Any nonempty text Type is allowed. No enforced numeric ID ranges. Custom labels are legitimate.</x:v>
      </x:c>
      <x:c r="C6"/>
      <x:c r="D6"/>
    </x:row>
    <x:row r="7" ht="65" customHeight="1">
      <x:c r="A7" s="60" t="str">
        <x:v>Images</x:v>
      </x:c>
      <x:c r="B7" s="60" t="str">
        <x:v>ImageFile is relative to the game. Supply ImageAlt and GraphDescription (columns AH/AI). The sample uses sample-bars.svg from the resources folder.</x:v>
      </x:c>
      <x:c r="C7"/>
      <x:c r="D7"/>
    </x:row>
    <x:row r="8" ht="65" customHeight="1">
      <x:c r="A8" s="60" t="str">
        <x:v>GraphRequired</x:v>
      </x:c>
      <x:c r="B8" s="60" t="str">
        <x:v>TRUE for Trial by Graph eligibility; FALSE or blank otherwise. Do not use yes/no.</x:v>
      </x:c>
      <x:c r="C8"/>
      <x:c r="D8"/>
    </x:row>
    <x:row r="9" ht="65" customHeight="1">
      <x:c r="A9" s="60" t="str">
        <x:v>Optional notes</x:v>
      </x:c>
      <x:c r="B9" s="60" t="str">
        <x:v>ObjectiveLabel, CommonError, ConceptCluster, Hint and BossStage are exported. SecondarySkills, LegacyImageNote, BossEligible, AnswerVerified and Notes are editorial only in this workbook. For richer optional data and aliases edit JSON directly.</x:v>
      </x:c>
      <x:c r="C9"/>
      <x:c r="D9"/>
    </x:row>
    <x:row r="10" ht="65" customHeight="1">
      <x:c r="A10" s="60" t="str">
        <x:v>3 Validate</x:v>
      </x:c>
      <x:c r="B10" s="60" t="str">
        <x:v>Copy A1:AJ through your last question. Paste into https://masteryquests.org/tools/question-bank-validator/ and choose copied workbook rows. It checks required fields, pools, IDs, assets/accessibility and mode counts.</x:v>
      </x:c>
      <x:c r="C10"/>
      <x:c r="D10"/>
    </x:row>
    <x:row r="11" ht="65" customHeight="1">
      <x:c r="A11" s="60" t="str">
        <x:v>4 Export</x:v>
      </x:c>
      <x:c r="B11" s="60" t="str">
        <x:v>Download checked JSON from the validator. Replace only the JSON between MANUAL PACKAGE START and MANUAL PACKAGE END in the blank HTML. Excel does not generate executable JavaScript.</x:v>
      </x:c>
      <x:c r="C11"/>
      <x:c r="D11"/>
    </x:row>
    <x:row r="12" ht="65" customHeight="1">
      <x:c r="A12" s="60" t="str">
        <x:v>5 Assets</x:v>
      </x:c>
      <x:c r="B12" s="60" t="str">
        <x:v>Copied rows refer to local image files. Keep those files beside the game or add embeddedQuestionAssets to JSON. Check every image in the actual game.</x:v>
      </x:c>
      <x:c r="C12"/>
      <x:c r="D12"/>
    </x:row>
    <x:row r="13" ht="65" customHeight="1">
      <x:c r="A13" s="60" t="str">
        <x:v>6 Test</x:v>
      </x:c>
      <x:c r="B13" s="60" t="str">
        <x:v>Launch every enabled mode; test wrong/correct answers, feedback, repair/bridge, completion, save/refresh/resume, keyboard and mobile layout. Download Game Data stays local.</x:v>
      </x:c>
    </x:row>
    <x:row r="14" ht="65" customHeight="1">
      <x:c r="A14" s="60" t="str">
        <x:v>Telemetry</x:v>
      </x:c>
      <x:c r="B14" s="60" t="str">
        <x:v>Manual/free and public polished games are local-only. Remote collection OFF by default. Do not add student identifiers. Operational telemetry is not research by default.</x:v>
      </x:c>
      <x:c r="C14"/>
      <x:c r="D14"/>
    </x:row>
    <x:row r="15" ht="65" customHeight="1">
      <x:c r="A15" s="60" t="str">
        <x:v>Limits</x:v>
      </x:c>
      <x:c r="B15" s="60" t="str">
        <x:v>Basic Excel completeness is not a full schema verdict. The browser validator accepts current aliases via JSON, warns about repeated text and checks launch minimums. Review teaching accuracy and answer keys yourself.</x:v>
      </x:c>
      <x:c r="C15"/>
      <x:c r="D15"/>
    </x:row>
    <x:row r="16">
      <x:c r="A16"/>
      <x:c r="B16"/>
      <x:c r="C16"/>
      <x:c r="D16"/>
    </x:row>
    <x:row r="18">
      <x:c r="A18"/>
      <x:c r="B18"/>
      <x:c r="C18"/>
      <x:c r="D18"/>
    </x:row>
    <x:row r="19">
      <x:c r="A19"/>
      <x:c r="B19"/>
      <x:c r="C19"/>
      <x:c r="D19"/>
    </x:row>
  </x:sheetData>
  <x:pageMargins left="0.7" right="0.7" top="0.75" bottom="0.75" header="0.3" footer="0.3"/>
</x:worksheet>
</file>